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e_e\Downloads\DatabaseProductos\"/>
    </mc:Choice>
  </mc:AlternateContent>
  <xr:revisionPtr revIDLastSave="0" documentId="13_ncr:80001_{DBC88E8B-B774-480F-8741-A26CF03127FD}" xr6:coauthVersionLast="36" xr6:coauthVersionMax="36" xr10:uidLastSave="{00000000-0000-0000-0000-000000000000}"/>
  <bookViews>
    <workbookView xWindow="0" yWindow="0" windowWidth="23040" windowHeight="8940" firstSheet="1" activeTab="2" xr2:uid="{17FDB19F-BA69-464C-8D36-D202B94E2373}"/>
  </bookViews>
  <sheets>
    <sheet name="INTERFAZ USUARIO" sheetId="6" r:id="rId1"/>
    <sheet name="ANALISIS_PLANTA" sheetId="21" r:id="rId2"/>
    <sheet name="DASHBOARD" sheetId="22" r:id="rId3"/>
    <sheet name="BASE DE DATOS INVENTARIO PLANTA" sheetId="13" r:id="rId4"/>
    <sheet name="PRODUCTOS" sheetId="16" r:id="rId5"/>
    <sheet name="ANÁLISIS_MAQUINAS" sheetId="18" r:id="rId6"/>
    <sheet name="BASE DE DATOS MÁQUINAS" sheetId="14" r:id="rId7"/>
  </sheets>
  <definedNames>
    <definedName name="SegmentaciónDeDatos_area_ingreso">#N/A</definedName>
    <definedName name="SegmentaciónDeDatos_AREA_MAQ">#N/A</definedName>
    <definedName name="SegmentaciónDeDatos_dia_ingreso">#N/A</definedName>
    <definedName name="SegmentaciónDeDatos_ID_MAQUINA">#N/A</definedName>
    <definedName name="SegmentaciónDeDatos_MES_CARGA_MAQ">#N/A</definedName>
    <definedName name="SegmentaciónDeDatos_mes_ingreso">#N/A</definedName>
    <definedName name="SegmentaciónDeDatos_moneda">#N/A</definedName>
  </definedNames>
  <calcPr calcId="179021"/>
  <pivotCaches>
    <pivotCache cacheId="8" r:id="rId8"/>
    <pivotCache cacheId="14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3" l="1"/>
  <c r="C3" i="13"/>
  <c r="D3" i="13"/>
  <c r="E3" i="13"/>
  <c r="G3" i="13"/>
  <c r="D2" i="14" s="1"/>
  <c r="L3" i="13"/>
  <c r="A2" i="14"/>
  <c r="C2" i="14"/>
  <c r="K2" i="14" s="1"/>
  <c r="A3" i="14"/>
  <c r="C3" i="14"/>
  <c r="K3" i="14" s="1"/>
  <c r="A4" i="14"/>
  <c r="C4" i="14"/>
  <c r="K4" i="14" s="1"/>
  <c r="A5" i="14"/>
  <c r="C5" i="14"/>
  <c r="K5" i="14" s="1"/>
  <c r="A6" i="14"/>
  <c r="C6" i="14"/>
  <c r="K6" i="14" s="1"/>
  <c r="A7" i="14"/>
  <c r="C7" i="14"/>
  <c r="K7" i="14" s="1"/>
  <c r="A8" i="14"/>
  <c r="C8" i="14"/>
  <c r="K8" i="14" s="1"/>
  <c r="A9" i="14"/>
  <c r="C9" i="14"/>
  <c r="K9" i="14" s="1"/>
  <c r="A10" i="14"/>
  <c r="C10" i="14"/>
  <c r="K10" i="14" s="1"/>
  <c r="A11" i="14"/>
  <c r="C11" i="14"/>
  <c r="K11" i="14" s="1"/>
  <c r="A12" i="14"/>
  <c r="C12" i="14"/>
  <c r="K12" i="14" s="1"/>
  <c r="A13" i="14"/>
  <c r="C13" i="14"/>
  <c r="K13" i="14" s="1"/>
  <c r="A14" i="14"/>
  <c r="C14" i="14"/>
  <c r="K14" i="14" s="1"/>
  <c r="B4" i="18" l="1"/>
  <c r="B2" i="18"/>
  <c r="B1" i="21"/>
  <c r="A4" i="13"/>
  <c r="C4" i="13"/>
  <c r="D4" i="13"/>
  <c r="E4" i="13"/>
  <c r="G4" i="13"/>
  <c r="D29" i="14" s="1"/>
  <c r="L4" i="13"/>
  <c r="A15" i="14"/>
  <c r="C15" i="14"/>
  <c r="K15" i="14" s="1"/>
  <c r="A16" i="14"/>
  <c r="C16" i="14"/>
  <c r="K16" i="14" s="1"/>
  <c r="A17" i="14"/>
  <c r="C17" i="14"/>
  <c r="K17" i="14" s="1"/>
  <c r="A18" i="14"/>
  <c r="C18" i="14"/>
  <c r="K18" i="14" s="1"/>
  <c r="A19" i="14"/>
  <c r="C19" i="14"/>
  <c r="K19" i="14" s="1"/>
  <c r="A20" i="14"/>
  <c r="C20" i="14"/>
  <c r="K20" i="14" s="1"/>
  <c r="D20" i="14"/>
  <c r="A21" i="14"/>
  <c r="C21" i="14"/>
  <c r="K21" i="14" s="1"/>
  <c r="A22" i="14"/>
  <c r="C22" i="14"/>
  <c r="K22" i="14" s="1"/>
  <c r="A23" i="14"/>
  <c r="C23" i="14"/>
  <c r="K23" i="14" s="1"/>
  <c r="A24" i="14"/>
  <c r="C24" i="14"/>
  <c r="K24" i="14" s="1"/>
  <c r="A25" i="14"/>
  <c r="C25" i="14"/>
  <c r="K25" i="14" s="1"/>
  <c r="A26" i="14"/>
  <c r="C26" i="14"/>
  <c r="K26" i="14" s="1"/>
  <c r="D26" i="14"/>
  <c r="A27" i="14"/>
  <c r="C27" i="14"/>
  <c r="K27" i="14" s="1"/>
  <c r="A28" i="14"/>
  <c r="C28" i="14"/>
  <c r="K28" i="14" s="1"/>
  <c r="A29" i="14"/>
  <c r="C29" i="14"/>
  <c r="K29" i="14" s="1"/>
  <c r="A30" i="14"/>
  <c r="C30" i="14"/>
  <c r="K30" i="14" s="1"/>
  <c r="A31" i="14"/>
  <c r="C31" i="14"/>
  <c r="K31" i="14" s="1"/>
  <c r="A32" i="14"/>
  <c r="C32" i="14"/>
  <c r="K32" i="14" s="1"/>
  <c r="C33" i="14"/>
  <c r="K33" i="14" s="1"/>
  <c r="A33" i="14"/>
  <c r="B2" i="21"/>
  <c r="D28" i="14" l="1"/>
  <c r="D25" i="14"/>
  <c r="D19" i="14"/>
  <c r="D30" i="14"/>
  <c r="D27" i="14"/>
  <c r="D24" i="14"/>
  <c r="D18" i="14"/>
  <c r="D23" i="14"/>
  <c r="O4" i="21"/>
  <c r="B3" i="18"/>
  <c r="D22" i="14"/>
  <c r="D21" i="14"/>
  <c r="A5" i="13"/>
  <c r="C5" i="13"/>
  <c r="D5" i="13"/>
  <c r="E5" i="13"/>
  <c r="G5" i="13"/>
  <c r="L5" i="13"/>
  <c r="D17" i="14" l="1"/>
  <c r="D15" i="14"/>
  <c r="D16" i="14"/>
  <c r="A6" i="13"/>
  <c r="C6" i="13"/>
  <c r="D6" i="13"/>
  <c r="E6" i="13"/>
  <c r="G6" i="13"/>
  <c r="L6" i="13"/>
  <c r="D4" i="14" l="1"/>
  <c r="D9" i="14"/>
  <c r="D12" i="14"/>
  <c r="D6" i="14"/>
  <c r="D7" i="14"/>
  <c r="D10" i="14"/>
  <c r="D5" i="14"/>
  <c r="D13" i="14"/>
  <c r="D8" i="14"/>
  <c r="D11" i="14"/>
  <c r="D14" i="14"/>
  <c r="D31" i="14"/>
  <c r="D32" i="14"/>
  <c r="D33" i="14"/>
  <c r="A7" i="13"/>
  <c r="C7" i="13"/>
  <c r="D7" i="13"/>
  <c r="E7" i="13"/>
  <c r="G7" i="13"/>
  <c r="L7" i="13"/>
  <c r="A8" i="13"/>
  <c r="C8" i="13"/>
  <c r="D8" i="13"/>
  <c r="E8" i="13"/>
  <c r="G8" i="13"/>
  <c r="L8" i="13"/>
  <c r="A9" i="13"/>
  <c r="C9" i="13"/>
  <c r="D9" i="13"/>
  <c r="E9" i="13"/>
  <c r="G9" i="13"/>
  <c r="D3" i="14" s="1"/>
  <c r="L9" i="13"/>
  <c r="A10" i="13"/>
  <c r="C10" i="13"/>
  <c r="D10" i="13"/>
  <c r="E10" i="13"/>
  <c r="G10" i="13"/>
  <c r="L10" i="13"/>
  <c r="A11" i="13" l="1"/>
  <c r="C11" i="13"/>
  <c r="D11" i="13"/>
  <c r="E11" i="13"/>
  <c r="G11" i="13"/>
  <c r="L11" i="13"/>
  <c r="A12" i="13"/>
  <c r="C12" i="13"/>
  <c r="D12" i="13"/>
  <c r="E12" i="13"/>
  <c r="G12" i="13"/>
  <c r="L12" i="13"/>
  <c r="A13" i="13"/>
  <c r="C13" i="13"/>
  <c r="D13" i="13"/>
  <c r="E13" i="13"/>
  <c r="G13" i="13"/>
  <c r="L13" i="13"/>
  <c r="A14" i="13"/>
  <c r="C14" i="13"/>
  <c r="D14" i="13"/>
  <c r="E14" i="13"/>
  <c r="G14" i="13"/>
  <c r="L14" i="13"/>
</calcChain>
</file>

<file path=xl/sharedStrings.xml><?xml version="1.0" encoding="utf-8"?>
<sst xmlns="http://schemas.openxmlformats.org/spreadsheetml/2006/main" count="390" uniqueCount="162">
  <si>
    <t>codigo</t>
  </si>
  <si>
    <t>presentacion</t>
  </si>
  <si>
    <t>packing</t>
  </si>
  <si>
    <t>precio_unitario</t>
  </si>
  <si>
    <t>moneda</t>
  </si>
  <si>
    <t>producto</t>
  </si>
  <si>
    <t>ID_maquina</t>
  </si>
  <si>
    <t>área_ maquina</t>
  </si>
  <si>
    <t>litros_carga</t>
  </si>
  <si>
    <t>dia_carga_maq</t>
  </si>
  <si>
    <t>mes_carga_maq</t>
  </si>
  <si>
    <t>INGRESO  MÁQUINAS</t>
  </si>
  <si>
    <t>INGRESO   PLANTA</t>
  </si>
  <si>
    <t>LITRO</t>
  </si>
  <si>
    <t>TAMBO</t>
  </si>
  <si>
    <t>USD</t>
  </si>
  <si>
    <t>descrip_producto</t>
  </si>
  <si>
    <t>unidad_medida</t>
  </si>
  <si>
    <t>cant_ingreso_planta</t>
  </si>
  <si>
    <t>dia_ingreso</t>
  </si>
  <si>
    <t>mes_ingreso</t>
  </si>
  <si>
    <t>area_ingreso</t>
  </si>
  <si>
    <t>gasto_litro</t>
  </si>
  <si>
    <t>CODIGO</t>
  </si>
  <si>
    <t>ID_MAQUINA</t>
  </si>
  <si>
    <t>AREA_MAQ</t>
  </si>
  <si>
    <t>LITROS_MAQ</t>
  </si>
  <si>
    <t>DIA_CARGA_MAQ</t>
  </si>
  <si>
    <t>MES_CARGA_MAQ</t>
  </si>
  <si>
    <t>ANIO</t>
  </si>
  <si>
    <t>GASTO_MAQ</t>
  </si>
  <si>
    <t>DQ-0016</t>
  </si>
  <si>
    <t>ANTIOXIDANTE PREVENTOX 50K</t>
  </si>
  <si>
    <t>MXN</t>
  </si>
  <si>
    <t>DQ-0019</t>
  </si>
  <si>
    <t>ACEITE HIDRAULICO MH 300 (ISO 68)</t>
  </si>
  <si>
    <t xml:space="preserve">TOTE </t>
  </si>
  <si>
    <t>DQ-0033</t>
  </si>
  <si>
    <t>MEXTRA NUS 10</t>
  </si>
  <si>
    <t>TOTE</t>
  </si>
  <si>
    <t>DQ-0035</t>
  </si>
  <si>
    <t>ACEITE CORTACERO 5090</t>
  </si>
  <si>
    <t>DQ-0047</t>
  </si>
  <si>
    <t>SHELL TONNA S2</t>
  </si>
  <si>
    <t xml:space="preserve">TAMBO </t>
  </si>
  <si>
    <t>DQ-0044</t>
  </si>
  <si>
    <t>SOLVO-KLEEN EXTRA</t>
  </si>
  <si>
    <t xml:space="preserve">CUBETA </t>
  </si>
  <si>
    <t>DQ-0057</t>
  </si>
  <si>
    <t>INHIBIDOR 132 X</t>
  </si>
  <si>
    <t xml:space="preserve">TAMBOR </t>
  </si>
  <si>
    <t>THINNER</t>
  </si>
  <si>
    <t>DQ-0074</t>
  </si>
  <si>
    <t>SOLTEMP-55-D (SUST. AL</t>
  </si>
  <si>
    <t>DQ-0046</t>
  </si>
  <si>
    <t>ACEITE HIDRAULICO MH-220</t>
  </si>
  <si>
    <t>DQ-0089</t>
  </si>
  <si>
    <t>ACEITE P/ENGRANES 3A ISO</t>
  </si>
  <si>
    <t>DQ-0091</t>
  </si>
  <si>
    <t xml:space="preserve">ERASOLV 5080 </t>
  </si>
  <si>
    <t>KILO</t>
  </si>
  <si>
    <t>DQ-0092</t>
  </si>
  <si>
    <t>GRASA MEXTRA</t>
  </si>
  <si>
    <t>DQ-0111</t>
  </si>
  <si>
    <t>ACEITE P/HUSILLOS AA</t>
  </si>
  <si>
    <t>DQ-0012</t>
  </si>
  <si>
    <t>EMULCUT 100</t>
  </si>
  <si>
    <t>DQ-0069</t>
  </si>
  <si>
    <t>ACUATEMP 115</t>
  </si>
  <si>
    <t>DQ-0022</t>
  </si>
  <si>
    <t>ADITIVO ACUATEMP-NC</t>
  </si>
  <si>
    <t>DQ-0023</t>
  </si>
  <si>
    <t>DESESPUMANTE 1012 DEFOA-</t>
  </si>
  <si>
    <t>DQ-0028</t>
  </si>
  <si>
    <t>POLIMERO DE TEMPLE QUENCH-720</t>
  </si>
  <si>
    <t>DQ-0037</t>
  </si>
  <si>
    <t>ANTICORIT</t>
  </si>
  <si>
    <t>DQ-0059</t>
  </si>
  <si>
    <t>INHIBIDOR 70</t>
  </si>
  <si>
    <t>DQ-0062</t>
  </si>
  <si>
    <t>OAKITE</t>
  </si>
  <si>
    <t>GALON</t>
  </si>
  <si>
    <t>DQ-0071</t>
  </si>
  <si>
    <t>RUST VETO 4240</t>
  </si>
  <si>
    <t>DQ-0076</t>
  </si>
  <si>
    <t>ANTIOXI 1290</t>
  </si>
  <si>
    <t>DQ-0077</t>
  </si>
  <si>
    <t>HISPYN ZZ</t>
  </si>
  <si>
    <t>DQ-0078</t>
  </si>
  <si>
    <t>DEFOAMER 1587</t>
  </si>
  <si>
    <t>DQ-0116</t>
  </si>
  <si>
    <t>B COOL 60 (1316)</t>
  </si>
  <si>
    <t>DQ-0117</t>
  </si>
  <si>
    <t>B TEMP 912</t>
  </si>
  <si>
    <t>DQ-0115</t>
  </si>
  <si>
    <t>EQUICORTE 300</t>
  </si>
  <si>
    <t>TAMBO 200</t>
  </si>
  <si>
    <t>DQ-0107</t>
  </si>
  <si>
    <t>AQUAQUENCH 245</t>
  </si>
  <si>
    <t>DESCRIPCION_PRODUCTO</t>
  </si>
  <si>
    <t>PRESENTACION</t>
  </si>
  <si>
    <t>PACKING</t>
  </si>
  <si>
    <t>MONEDA</t>
  </si>
  <si>
    <t>UD_MEDIDA</t>
  </si>
  <si>
    <t>PRECIO_UNITARIO</t>
  </si>
  <si>
    <t>PRODUCTO</t>
  </si>
  <si>
    <t>CANT_INGRESO_PLANTA</t>
  </si>
  <si>
    <t>DIA_INGRESO_PLANTA</t>
  </si>
  <si>
    <t>MES_INGRESO_PLANTA</t>
  </si>
  <si>
    <t>AREA_INGRESO_PLANTA</t>
  </si>
  <si>
    <t>MARZO</t>
  </si>
  <si>
    <t>HAAS</t>
  </si>
  <si>
    <t>Descripcion_producto</t>
  </si>
  <si>
    <t>anio</t>
  </si>
  <si>
    <t>Precio_unitario</t>
  </si>
  <si>
    <t>DANA</t>
  </si>
  <si>
    <t>Etiquetas de fila</t>
  </si>
  <si>
    <t>Total general</t>
  </si>
  <si>
    <t>Suma de cant_ingreso_planta</t>
  </si>
  <si>
    <t>Suma de gasto_litro</t>
  </si>
  <si>
    <t>M1101</t>
  </si>
  <si>
    <t>JL</t>
  </si>
  <si>
    <t>MM0011</t>
  </si>
  <si>
    <t>M1128</t>
  </si>
  <si>
    <t>M776</t>
  </si>
  <si>
    <t>CRUCETAS</t>
  </si>
  <si>
    <t>M0667</t>
  </si>
  <si>
    <t>BM0040</t>
  </si>
  <si>
    <t>BM0039</t>
  </si>
  <si>
    <t>BM0041</t>
  </si>
  <si>
    <t>BM0043</t>
  </si>
  <si>
    <t>BM0042</t>
  </si>
  <si>
    <t>M1226</t>
  </si>
  <si>
    <t>BM0076</t>
  </si>
  <si>
    <t>BM0078</t>
  </si>
  <si>
    <t>BM0075</t>
  </si>
  <si>
    <t>M1096</t>
  </si>
  <si>
    <t>MM017</t>
  </si>
  <si>
    <t>Suma de LITROS_MAQ</t>
  </si>
  <si>
    <t>datoPerdido</t>
  </si>
  <si>
    <t>CONSTANTES</t>
  </si>
  <si>
    <t>SEMIEJES</t>
  </si>
  <si>
    <t>VALOR MÁS ALTO =</t>
  </si>
  <si>
    <t>INGRESO TOTAL LITROS AL MES=</t>
  </si>
  <si>
    <t>Consumido total por máquinas (lts) =</t>
  </si>
  <si>
    <t>En inventario=</t>
  </si>
  <si>
    <t>Producto de mayor consumo=</t>
  </si>
  <si>
    <t>INVENTARIO</t>
  </si>
  <si>
    <t>M929</t>
  </si>
  <si>
    <t>VARIABLES</t>
  </si>
  <si>
    <t>ABRIL</t>
  </si>
  <si>
    <t>M781</t>
  </si>
  <si>
    <t>M1220</t>
  </si>
  <si>
    <t>M1219</t>
  </si>
  <si>
    <t>M1081</t>
  </si>
  <si>
    <t>M1200</t>
  </si>
  <si>
    <t>M1201</t>
  </si>
  <si>
    <t>M1184</t>
  </si>
  <si>
    <t>M0636</t>
  </si>
  <si>
    <t>M1054</t>
  </si>
  <si>
    <t>M1149</t>
  </si>
  <si>
    <t>BE0075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</si>
</sst>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\ #,##0.00"/>
    <numFmt numFmtId="165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Agency FB"/>
      <family val="2"/>
    </font>
    <font>
      <b/>
      <sz val="16"/>
      <name val="Arial Narrow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Arial Narrow"/>
      <family val="2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5" fillId="0" borderId="0" applyFont="0" applyFill="0" applyBorder="0" applyAlignment="0" applyProtection="0"/>
    <xf numFmtId="0" fontId="6" fillId="0" borderId="0"/>
  </cellStyleXfs>
  <cellXfs count="34">
    <xf numFmtId="0" fontId="0" fillId="0" borderId="0" xfId="0"/>
    <xf numFmtId="2" fontId="0" fillId="0" borderId="0" xfId="0" applyNumberFormat="1"/>
    <xf numFmtId="0" fontId="0" fillId="2" borderId="0" xfId="0" applyFill="1"/>
    <xf numFmtId="164" fontId="0" fillId="0" borderId="0" xfId="0" applyNumberFormat="1"/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NumberFormat="1" applyFont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0" fillId="4" borderId="0" xfId="0" applyFill="1" applyBorder="1"/>
    <xf numFmtId="0" fontId="0" fillId="4" borderId="0" xfId="0" applyFill="1"/>
    <xf numFmtId="0" fontId="9" fillId="4" borderId="0" xfId="0" applyFont="1" applyFill="1"/>
    <xf numFmtId="0" fontId="9" fillId="0" borderId="0" xfId="0" applyFont="1" applyFill="1"/>
    <xf numFmtId="0" fontId="0" fillId="0" borderId="2" xfId="0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8" fillId="4" borderId="0" xfId="0" applyFont="1" applyFill="1"/>
    <xf numFmtId="0" fontId="8" fillId="4" borderId="0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</cellXfs>
  <cellStyles count="3">
    <cellStyle name="Moneda 2" xfId="1" xr:uid="{00000000-0005-0000-0000-00002F000000}"/>
    <cellStyle name="Normal" xfId="0" builtinId="0"/>
    <cellStyle name="Normal 2" xfId="2" xr:uid="{1A1B6C37-F587-487E-8D79-D7CF40DE333D}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&quot;$&quot;\ #,##0.00"/>
    </dxf>
    <dxf>
      <numFmt numFmtId="2" formatCode="0.00"/>
    </dxf>
    <dxf>
      <numFmt numFmtId="164" formatCode="&quot;$&quot;\ #,##0.00"/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7" tint="-0.24994659260841701"/>
        </patternFill>
      </fill>
    </dxf>
    <dxf>
      <fill>
        <patternFill>
          <bgColor theme="4" tint="0.39994506668294322"/>
        </patternFill>
      </fill>
    </dxf>
    <dxf>
      <font>
        <sz val="9"/>
        <color theme="5" tint="-0.499984740745262"/>
        <name val="Calibri Light"/>
        <family val="2"/>
        <scheme val="major"/>
      </font>
      <fill>
        <patternFill>
          <bgColor theme="2" tint="-0.899960325937681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2" defaultTableStyle="TableStyleMedium2" defaultPivotStyle="PivotStyleLight16">
    <tableStyle name="Estilo de segmentación de datos 1" pivot="0" table="0" count="10" xr9:uid="{9AF6E0A7-EA8A-49CE-86B0-9E4E6417065A}">
      <tableStyleElement type="wholeTable" dxfId="19"/>
      <tableStyleElement type="headerRow" dxfId="18"/>
    </tableStyle>
    <tableStyle name="Estilo de tabla 1" pivot="0" count="1" xr9:uid="{64AADDDC-C095-4F68-A81C-40A77F6E788C}">
      <tableStyleElement type="wholeTable" dxfId="17"/>
    </tableStyle>
  </tableStyles>
  <extLst>
    <ext xmlns:x14="http://schemas.microsoft.com/office/spreadsheetml/2009/9/main" uri="{46F421CA-312F-682f-3DD2-61675219B42D}">
      <x14:dxfs count="8">
        <dxf>
          <fill>
            <patternFill>
              <bgColor rgb="FFFFC000"/>
            </patternFill>
          </fill>
        </dxf>
        <dxf>
          <fill>
            <patternFill>
              <bgColor rgb="FFFFC000"/>
            </patternFill>
          </fill>
        </dxf>
        <dxf>
          <fill>
            <patternFill>
              <bgColor rgb="FFFFC000"/>
            </patternFill>
          </fill>
        </dxf>
        <dxf>
          <fill>
            <patternFill>
              <bgColor rgb="FFFFC000"/>
            </patternFill>
          </fill>
        </dxf>
        <dxf>
          <fill>
            <patternFill>
              <bgColor theme="0" tint="-0.14996795556505021"/>
            </patternFill>
          </fill>
        </dxf>
        <dxf>
          <fill>
            <patternFill>
              <bgColor theme="0" tint="-0.14996795556505021"/>
            </patternFill>
          </fill>
        </dxf>
        <dxf>
          <fill>
            <patternFill>
              <bgColor theme="0" tint="-0.14996795556505021"/>
            </patternFill>
          </fill>
        </dxf>
        <dxf>
          <fill>
            <patternFill>
              <bgColor theme="0" tint="-0.1499679555650502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10" Type="http://schemas.microsoft.com/office/2007/relationships/slicerCache" Target="slicerCaches/slicerCache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[Base_de_datos_JM_16.xlsm]ANALISIS_PLANTA!TablaAnalisis</c:name>
    <c:fmtId val="1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ANALISIS_PLANTA!$B$3</c:f>
              <c:strCache>
                <c:ptCount val="1"/>
                <c:pt idx="0">
                  <c:v>Suma de cant_ingreso_planta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ANALISIS_PLANTA!$A$4:$A$15</c:f>
              <c:strCache>
                <c:ptCount val="11"/>
                <c:pt idx="0">
                  <c:v>ACEITE HIDRAULICO MH 300 (ISO 68)</c:v>
                </c:pt>
                <c:pt idx="1">
                  <c:v>ACUATEMP 115</c:v>
                </c:pt>
                <c:pt idx="2">
                  <c:v>B COOL 60 (1316)</c:v>
                </c:pt>
                <c:pt idx="3">
                  <c:v>B TEMP 912</c:v>
                </c:pt>
                <c:pt idx="4">
                  <c:v>DEFOAMER 1587</c:v>
                </c:pt>
                <c:pt idx="5">
                  <c:v>EMULCUT 100</c:v>
                </c:pt>
                <c:pt idx="6">
                  <c:v>HISPYN ZZ</c:v>
                </c:pt>
                <c:pt idx="7">
                  <c:v>INHIBIDOR 70</c:v>
                </c:pt>
                <c:pt idx="8">
                  <c:v>OAKITE</c:v>
                </c:pt>
                <c:pt idx="9">
                  <c:v>RUST VETO 4240</c:v>
                </c:pt>
                <c:pt idx="10">
                  <c:v>AQUAQUENCH 245</c:v>
                </c:pt>
              </c:strCache>
            </c:strRef>
          </c:cat>
          <c:val>
            <c:numRef>
              <c:f>ANALISIS_PLANTA!$B$4:$B$15</c:f>
              <c:numCache>
                <c:formatCode>General</c:formatCode>
                <c:ptCount val="11"/>
                <c:pt idx="0">
                  <c:v>2000</c:v>
                </c:pt>
                <c:pt idx="1">
                  <c:v>800</c:v>
                </c:pt>
                <c:pt idx="2">
                  <c:v>5000</c:v>
                </c:pt>
                <c:pt idx="3">
                  <c:v>600</c:v>
                </c:pt>
                <c:pt idx="4">
                  <c:v>190</c:v>
                </c:pt>
                <c:pt idx="5">
                  <c:v>3000</c:v>
                </c:pt>
                <c:pt idx="6">
                  <c:v>208</c:v>
                </c:pt>
                <c:pt idx="7">
                  <c:v>380</c:v>
                </c:pt>
                <c:pt idx="8">
                  <c:v>400</c:v>
                </c:pt>
                <c:pt idx="9">
                  <c:v>200</c:v>
                </c:pt>
                <c:pt idx="1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80-423A-ABF0-DFE20383E925}"/>
            </c:ext>
          </c:extLst>
        </c:ser>
        <c:ser>
          <c:idx val="1"/>
          <c:order val="1"/>
          <c:tx>
            <c:strRef>
              <c:f>ANALISIS_PLANTA!$C$3</c:f>
              <c:strCache>
                <c:ptCount val="1"/>
                <c:pt idx="0">
                  <c:v>Suma de gasto_litro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ANALISIS_PLANTA!$A$4:$A$15</c:f>
              <c:strCache>
                <c:ptCount val="11"/>
                <c:pt idx="0">
                  <c:v>ACEITE HIDRAULICO MH 300 (ISO 68)</c:v>
                </c:pt>
                <c:pt idx="1">
                  <c:v>ACUATEMP 115</c:v>
                </c:pt>
                <c:pt idx="2">
                  <c:v>B COOL 60 (1316)</c:v>
                </c:pt>
                <c:pt idx="3">
                  <c:v>B TEMP 912</c:v>
                </c:pt>
                <c:pt idx="4">
                  <c:v>DEFOAMER 1587</c:v>
                </c:pt>
                <c:pt idx="5">
                  <c:v>EMULCUT 100</c:v>
                </c:pt>
                <c:pt idx="6">
                  <c:v>HISPYN ZZ</c:v>
                </c:pt>
                <c:pt idx="7">
                  <c:v>INHIBIDOR 70</c:v>
                </c:pt>
                <c:pt idx="8">
                  <c:v>OAKITE</c:v>
                </c:pt>
                <c:pt idx="9">
                  <c:v>RUST VETO 4240</c:v>
                </c:pt>
                <c:pt idx="10">
                  <c:v>AQUAQUENCH 245</c:v>
                </c:pt>
              </c:strCache>
            </c:strRef>
          </c:cat>
          <c:val>
            <c:numRef>
              <c:f>ANALISIS_PLANTA!$C$4:$C$15</c:f>
              <c:numCache>
                <c:formatCode>General</c:formatCode>
                <c:ptCount val="11"/>
                <c:pt idx="0">
                  <c:v>20000</c:v>
                </c:pt>
                <c:pt idx="1">
                  <c:v>8000</c:v>
                </c:pt>
                <c:pt idx="2">
                  <c:v>50000</c:v>
                </c:pt>
                <c:pt idx="3">
                  <c:v>6000</c:v>
                </c:pt>
                <c:pt idx="4">
                  <c:v>1900</c:v>
                </c:pt>
                <c:pt idx="5">
                  <c:v>30000</c:v>
                </c:pt>
                <c:pt idx="6">
                  <c:v>2080</c:v>
                </c:pt>
                <c:pt idx="7">
                  <c:v>3800</c:v>
                </c:pt>
                <c:pt idx="8">
                  <c:v>4000</c:v>
                </c:pt>
                <c:pt idx="9">
                  <c:v>2000</c:v>
                </c:pt>
                <c:pt idx="10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80-423A-ABF0-DFE20383E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628047160"/>
        <c:axId val="628051752"/>
      </c:barChart>
      <c:catAx>
        <c:axId val="628047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PRODUCTO</a:t>
                </a:r>
              </a:p>
            </c:rich>
          </c:tx>
          <c:layout>
            <c:manualLayout>
              <c:xMode val="edge"/>
              <c:yMode val="edge"/>
              <c:x val="0.43327425339171821"/>
              <c:y val="0.81605709302623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8051752"/>
        <c:crosses val="autoZero"/>
        <c:auto val="1"/>
        <c:lblAlgn val="ctr"/>
        <c:lblOffset val="100"/>
        <c:noMultiLvlLbl val="0"/>
      </c:catAx>
      <c:valAx>
        <c:axId val="62805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804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540367983636342"/>
          <c:y val="8.9739627416279805E-2"/>
          <c:w val="0.26466357531285889"/>
          <c:h val="0.13105256183367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[Base_de_datos_JM_16.xlsm]ANALISIS_PLANTA!TablaAnalisis</c:name>
    <c:fmtId val="7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ANALISIS_PLANTA!$B$3</c:f>
              <c:strCache>
                <c:ptCount val="1"/>
                <c:pt idx="0">
                  <c:v>Suma de cant_ingreso_planta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ANALISIS_PLANTA!$A$4:$A$15</c:f>
              <c:strCache>
                <c:ptCount val="11"/>
                <c:pt idx="0">
                  <c:v>ACEITE HIDRAULICO MH 300 (ISO 68)</c:v>
                </c:pt>
                <c:pt idx="1">
                  <c:v>ACUATEMP 115</c:v>
                </c:pt>
                <c:pt idx="2">
                  <c:v>B COOL 60 (1316)</c:v>
                </c:pt>
                <c:pt idx="3">
                  <c:v>B TEMP 912</c:v>
                </c:pt>
                <c:pt idx="4">
                  <c:v>DEFOAMER 1587</c:v>
                </c:pt>
                <c:pt idx="5">
                  <c:v>EMULCUT 100</c:v>
                </c:pt>
                <c:pt idx="6">
                  <c:v>HISPYN ZZ</c:v>
                </c:pt>
                <c:pt idx="7">
                  <c:v>INHIBIDOR 70</c:v>
                </c:pt>
                <c:pt idx="8">
                  <c:v>OAKITE</c:v>
                </c:pt>
                <c:pt idx="9">
                  <c:v>RUST VETO 4240</c:v>
                </c:pt>
                <c:pt idx="10">
                  <c:v>AQUAQUENCH 245</c:v>
                </c:pt>
              </c:strCache>
            </c:strRef>
          </c:cat>
          <c:val>
            <c:numRef>
              <c:f>ANALISIS_PLANTA!$B$4:$B$15</c:f>
              <c:numCache>
                <c:formatCode>General</c:formatCode>
                <c:ptCount val="11"/>
                <c:pt idx="0">
                  <c:v>2000</c:v>
                </c:pt>
                <c:pt idx="1">
                  <c:v>800</c:v>
                </c:pt>
                <c:pt idx="2">
                  <c:v>5000</c:v>
                </c:pt>
                <c:pt idx="3">
                  <c:v>600</c:v>
                </c:pt>
                <c:pt idx="4">
                  <c:v>190</c:v>
                </c:pt>
                <c:pt idx="5">
                  <c:v>3000</c:v>
                </c:pt>
                <c:pt idx="6">
                  <c:v>208</c:v>
                </c:pt>
                <c:pt idx="7">
                  <c:v>380</c:v>
                </c:pt>
                <c:pt idx="8">
                  <c:v>400</c:v>
                </c:pt>
                <c:pt idx="9">
                  <c:v>200</c:v>
                </c:pt>
                <c:pt idx="1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5-490F-A785-BAE7DC5DF698}"/>
            </c:ext>
          </c:extLst>
        </c:ser>
        <c:ser>
          <c:idx val="1"/>
          <c:order val="1"/>
          <c:tx>
            <c:strRef>
              <c:f>ANALISIS_PLANTA!$C$3</c:f>
              <c:strCache>
                <c:ptCount val="1"/>
                <c:pt idx="0">
                  <c:v>Suma de gasto_litro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ANALISIS_PLANTA!$A$4:$A$15</c:f>
              <c:strCache>
                <c:ptCount val="11"/>
                <c:pt idx="0">
                  <c:v>ACEITE HIDRAULICO MH 300 (ISO 68)</c:v>
                </c:pt>
                <c:pt idx="1">
                  <c:v>ACUATEMP 115</c:v>
                </c:pt>
                <c:pt idx="2">
                  <c:v>B COOL 60 (1316)</c:v>
                </c:pt>
                <c:pt idx="3">
                  <c:v>B TEMP 912</c:v>
                </c:pt>
                <c:pt idx="4">
                  <c:v>DEFOAMER 1587</c:v>
                </c:pt>
                <c:pt idx="5">
                  <c:v>EMULCUT 100</c:v>
                </c:pt>
                <c:pt idx="6">
                  <c:v>HISPYN ZZ</c:v>
                </c:pt>
                <c:pt idx="7">
                  <c:v>INHIBIDOR 70</c:v>
                </c:pt>
                <c:pt idx="8">
                  <c:v>OAKITE</c:v>
                </c:pt>
                <c:pt idx="9">
                  <c:v>RUST VETO 4240</c:v>
                </c:pt>
                <c:pt idx="10">
                  <c:v>AQUAQUENCH 245</c:v>
                </c:pt>
              </c:strCache>
            </c:strRef>
          </c:cat>
          <c:val>
            <c:numRef>
              <c:f>ANALISIS_PLANTA!$C$4:$C$15</c:f>
              <c:numCache>
                <c:formatCode>General</c:formatCode>
                <c:ptCount val="11"/>
                <c:pt idx="0">
                  <c:v>20000</c:v>
                </c:pt>
                <c:pt idx="1">
                  <c:v>8000</c:v>
                </c:pt>
                <c:pt idx="2">
                  <c:v>50000</c:v>
                </c:pt>
                <c:pt idx="3">
                  <c:v>6000</c:v>
                </c:pt>
                <c:pt idx="4">
                  <c:v>1900</c:v>
                </c:pt>
                <c:pt idx="5">
                  <c:v>30000</c:v>
                </c:pt>
                <c:pt idx="6">
                  <c:v>2080</c:v>
                </c:pt>
                <c:pt idx="7">
                  <c:v>3800</c:v>
                </c:pt>
                <c:pt idx="8">
                  <c:v>4000</c:v>
                </c:pt>
                <c:pt idx="9">
                  <c:v>2000</c:v>
                </c:pt>
                <c:pt idx="10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35-490F-A785-BAE7DC5DF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628047160"/>
        <c:axId val="628051752"/>
      </c:barChart>
      <c:catAx>
        <c:axId val="628047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PRODUCTO</a:t>
                </a:r>
              </a:p>
            </c:rich>
          </c:tx>
          <c:layout>
            <c:manualLayout>
              <c:xMode val="edge"/>
              <c:yMode val="edge"/>
              <c:x val="0.40947497304439834"/>
              <c:y val="0.914191411855613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8051752"/>
        <c:crosses val="autoZero"/>
        <c:auto val="1"/>
        <c:lblAlgn val="ctr"/>
        <c:lblOffset val="100"/>
        <c:noMultiLvlLbl val="0"/>
      </c:catAx>
      <c:valAx>
        <c:axId val="62805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2804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540367983636342"/>
          <c:y val="8.9739627416279805E-2"/>
          <c:w val="0.26466357531285889"/>
          <c:h val="0.508147480168330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[Base_de_datos_JM_16.xlsm]ANÁLISIS_MAQUINAS!TablaDinamica2</c:name>
    <c:fmtId val="6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ANÁLISIS_MAQUINAS!$B$6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ANÁLISIS_MAQUINAS!$A$7:$A$8</c:f>
              <c:strCache>
                <c:ptCount val="1"/>
                <c:pt idx="0">
                  <c:v>SHELL TONNA S2</c:v>
                </c:pt>
              </c:strCache>
            </c:strRef>
          </c:cat>
          <c:val>
            <c:numRef>
              <c:f>ANÁLISIS_MAQUINAS!$B$7:$B$8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6-4515-A5E7-5966E22F0B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67971328"/>
        <c:axId val="667970672"/>
      </c:barChart>
      <c:catAx>
        <c:axId val="66797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67970672"/>
        <c:crosses val="autoZero"/>
        <c:auto val="1"/>
        <c:lblAlgn val="ctr"/>
        <c:lblOffset val="100"/>
        <c:noMultiLvlLbl val="0"/>
      </c:catAx>
      <c:valAx>
        <c:axId val="667970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6797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[Base_de_datos_JM_16.xlsm]ANÁLISIS_MAQUINAS!TablaDinámica4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Total por áreas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</c:pivotFmts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ANÁLISIS_MAQUINAS!$N$4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FE64-4A5A-8CCB-21C6F3BBAEB5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FE64-4A5A-8CCB-21C6F3BBAEB5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FE64-4A5A-8CCB-21C6F3BBAEB5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FE64-4A5A-8CCB-21C6F3BBAEB5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5F32-4204-A8EE-C2F128E38E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ANÁLISIS_MAQUINAS!$M$5:$M$10</c:f>
              <c:strCache>
                <c:ptCount val="5"/>
                <c:pt idx="0">
                  <c:v>CONSTANTES</c:v>
                </c:pt>
                <c:pt idx="1">
                  <c:v>CRUCETAS</c:v>
                </c:pt>
                <c:pt idx="2">
                  <c:v>JL</c:v>
                </c:pt>
                <c:pt idx="3">
                  <c:v>SEMIEJES</c:v>
                </c:pt>
                <c:pt idx="4">
                  <c:v>VARIABLES</c:v>
                </c:pt>
              </c:strCache>
            </c:strRef>
          </c:cat>
          <c:val>
            <c:numRef>
              <c:f>ANÁLISIS_MAQUINAS!$N$5:$N$10</c:f>
              <c:numCache>
                <c:formatCode>General</c:formatCode>
                <c:ptCount val="5"/>
                <c:pt idx="0">
                  <c:v>40</c:v>
                </c:pt>
                <c:pt idx="1">
                  <c:v>560</c:v>
                </c:pt>
                <c:pt idx="2">
                  <c:v>56</c:v>
                </c:pt>
                <c:pt idx="3">
                  <c:v>40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64-4A5A-8CCB-21C6F3BBAEB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313455881631457"/>
          <c:y val="0.28377528624494103"/>
          <c:w val="0.2828798602279799"/>
          <c:h val="0.5610025516493909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7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[Base_de_datos_JM_16.xlsm]ANÁLISIS_MAQUINAS!TablaDinamica2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ANÁLISIS_MAQUINAS!$B$6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ANÁLISIS_MAQUINAS!$A$7:$A$8</c:f>
              <c:strCache>
                <c:ptCount val="1"/>
                <c:pt idx="0">
                  <c:v>SHELL TONNA S2</c:v>
                </c:pt>
              </c:strCache>
            </c:strRef>
          </c:cat>
          <c:val>
            <c:numRef>
              <c:f>ANÁLISIS_MAQUINAS!$B$7:$B$8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CE6-929C-7494C2836F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67971328"/>
        <c:axId val="667970672"/>
      </c:barChart>
      <c:catAx>
        <c:axId val="66797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67970672"/>
        <c:crosses val="autoZero"/>
        <c:auto val="1"/>
        <c:lblAlgn val="ctr"/>
        <c:lblOffset val="100"/>
        <c:noMultiLvlLbl val="0"/>
      </c:catAx>
      <c:valAx>
        <c:axId val="667970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6797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[Base_de_datos_JM_16.xlsm]ANÁLISIS_MAQUINAS!TablaDinámica4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por áreas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ANÁLISIS_MAQUINAS!$N$4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DE5C-47A8-B6F4-936C00A0371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DE5C-47A8-B6F4-936C00A0371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DE5C-47A8-B6F4-936C00A0371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DE5C-47A8-B6F4-936C00A0371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47A1-46FC-985F-A44EDB130E82}"/>
              </c:ext>
            </c:extLst>
          </c:dPt>
          <c:cat>
            <c:strRef>
              <c:f>ANÁLISIS_MAQUINAS!$M$5:$M$10</c:f>
              <c:strCache>
                <c:ptCount val="5"/>
                <c:pt idx="0">
                  <c:v>CONSTANTES</c:v>
                </c:pt>
                <c:pt idx="1">
                  <c:v>CRUCETAS</c:v>
                </c:pt>
                <c:pt idx="2">
                  <c:v>JL</c:v>
                </c:pt>
                <c:pt idx="3">
                  <c:v>SEMIEJES</c:v>
                </c:pt>
                <c:pt idx="4">
                  <c:v>VARIABLES</c:v>
                </c:pt>
              </c:strCache>
            </c:strRef>
          </c:cat>
          <c:val>
            <c:numRef>
              <c:f>ANÁLISIS_MAQUINAS!$N$5:$N$10</c:f>
              <c:numCache>
                <c:formatCode>General</c:formatCode>
                <c:ptCount val="5"/>
                <c:pt idx="0">
                  <c:v>40</c:v>
                </c:pt>
                <c:pt idx="1">
                  <c:v>560</c:v>
                </c:pt>
                <c:pt idx="2">
                  <c:v>56</c:v>
                </c:pt>
                <c:pt idx="3">
                  <c:v>40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F-4E4C-90D7-E8991A1FB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16</xdr:row>
      <xdr:rowOff>258445</xdr:rowOff>
    </xdr:from>
    <xdr:to>
      <xdr:col>2</xdr:col>
      <xdr:colOff>2796963</xdr:colOff>
      <xdr:row>20</xdr:row>
      <xdr:rowOff>66675</xdr:rowOff>
    </xdr:to>
    <xdr:sp macro="[0]!LimpiarFormularioBDplanta" textlink="">
      <xdr:nvSpPr>
        <xdr:cNvPr id="3" name="Rectángulo: biselado 2">
          <a:extLst>
            <a:ext uri="{FF2B5EF4-FFF2-40B4-BE49-F238E27FC236}">
              <a16:creationId xmlns:a16="http://schemas.microsoft.com/office/drawing/2014/main" id="{97B225C0-06E9-4C57-B52C-B4EF0A9D3FE9}"/>
            </a:ext>
          </a:extLst>
        </xdr:cNvPr>
        <xdr:cNvSpPr/>
      </xdr:nvSpPr>
      <xdr:spPr>
        <a:xfrm>
          <a:off x="2743200" y="4116070"/>
          <a:ext cx="1634913" cy="760730"/>
        </a:xfrm>
        <a:prstGeom prst="bevel">
          <a:avLst/>
        </a:prstGeom>
        <a:solidFill>
          <a:schemeClr val="accent2"/>
        </a:solidFill>
        <a:ln w="19050">
          <a:solidFill>
            <a:schemeClr val="accent2">
              <a:lumMod val="20000"/>
              <a:lumOff val="8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  <a:latin typeface="Agency FB" panose="020B0503020202020204" pitchFamily="34" charset="0"/>
            </a:rPr>
            <a:t>LIMPIAR</a:t>
          </a:r>
        </a:p>
      </xdr:txBody>
    </xdr:sp>
    <xdr:clientData/>
  </xdr:twoCellAnchor>
  <xdr:twoCellAnchor>
    <xdr:from>
      <xdr:col>4</xdr:col>
      <xdr:colOff>47625</xdr:colOff>
      <xdr:row>16</xdr:row>
      <xdr:rowOff>243205</xdr:rowOff>
    </xdr:from>
    <xdr:to>
      <xdr:col>4</xdr:col>
      <xdr:colOff>1849966</xdr:colOff>
      <xdr:row>20</xdr:row>
      <xdr:rowOff>47625</xdr:rowOff>
    </xdr:to>
    <xdr:sp macro="[0]!IngresoBDplanta" textlink="">
      <xdr:nvSpPr>
        <xdr:cNvPr id="4" name="Rectángulo: biselado 3">
          <a:extLst>
            <a:ext uri="{FF2B5EF4-FFF2-40B4-BE49-F238E27FC236}">
              <a16:creationId xmlns:a16="http://schemas.microsoft.com/office/drawing/2014/main" id="{10FD9D7D-C12B-4DD8-82C1-4ECB47742358}"/>
            </a:ext>
          </a:extLst>
        </xdr:cNvPr>
        <xdr:cNvSpPr/>
      </xdr:nvSpPr>
      <xdr:spPr>
        <a:xfrm>
          <a:off x="4943475" y="4100830"/>
          <a:ext cx="1802341" cy="756920"/>
        </a:xfrm>
        <a:prstGeom prst="bevel">
          <a:avLst/>
        </a:prstGeom>
        <a:solidFill>
          <a:schemeClr val="accent2"/>
        </a:solidFill>
        <a:ln w="19050">
          <a:solidFill>
            <a:schemeClr val="accent2">
              <a:lumMod val="20000"/>
              <a:lumOff val="8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  <a:latin typeface="Agency FB" panose="020B0503020202020204" pitchFamily="34" charset="0"/>
            </a:rPr>
            <a:t>GUARDAR</a:t>
          </a:r>
        </a:p>
      </xdr:txBody>
    </xdr:sp>
    <xdr:clientData/>
  </xdr:twoCellAnchor>
  <xdr:twoCellAnchor>
    <xdr:from>
      <xdr:col>8</xdr:col>
      <xdr:colOff>904875</xdr:colOff>
      <xdr:row>17</xdr:row>
      <xdr:rowOff>220980</xdr:rowOff>
    </xdr:from>
    <xdr:to>
      <xdr:col>8</xdr:col>
      <xdr:colOff>2379344</xdr:colOff>
      <xdr:row>20</xdr:row>
      <xdr:rowOff>24765</xdr:rowOff>
    </xdr:to>
    <xdr:sp macro="[0]!LimpiezaFormularioMaquinas" textlink="">
      <xdr:nvSpPr>
        <xdr:cNvPr id="5" name="Rectángulo: biselado 4">
          <a:extLst>
            <a:ext uri="{FF2B5EF4-FFF2-40B4-BE49-F238E27FC236}">
              <a16:creationId xmlns:a16="http://schemas.microsoft.com/office/drawing/2014/main" id="{61BA6D26-E74F-4793-863D-6C6E376806EB}"/>
            </a:ext>
          </a:extLst>
        </xdr:cNvPr>
        <xdr:cNvSpPr/>
      </xdr:nvSpPr>
      <xdr:spPr>
        <a:xfrm>
          <a:off x="11144250" y="4345305"/>
          <a:ext cx="1474469" cy="489585"/>
        </a:xfrm>
        <a:prstGeom prst="bevel">
          <a:avLst/>
        </a:prstGeom>
        <a:solidFill>
          <a:schemeClr val="accent2"/>
        </a:solidFill>
        <a:ln w="19050">
          <a:solidFill>
            <a:schemeClr val="accent2">
              <a:lumMod val="20000"/>
              <a:lumOff val="8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  <a:latin typeface="Agency FB" panose="020B0503020202020204" pitchFamily="34" charset="0"/>
            </a:rPr>
            <a:t>LIMPIAR</a:t>
          </a:r>
        </a:p>
      </xdr:txBody>
    </xdr:sp>
    <xdr:clientData/>
  </xdr:twoCellAnchor>
  <xdr:twoCellAnchor>
    <xdr:from>
      <xdr:col>10</xdr:col>
      <xdr:colOff>66675</xdr:colOff>
      <xdr:row>17</xdr:row>
      <xdr:rowOff>213360</xdr:rowOff>
    </xdr:from>
    <xdr:to>
      <xdr:col>10</xdr:col>
      <xdr:colOff>1552575</xdr:colOff>
      <xdr:row>20</xdr:row>
      <xdr:rowOff>17145</xdr:rowOff>
    </xdr:to>
    <xdr:sp macro="[0]!IngresoBDmaquinas" textlink="">
      <xdr:nvSpPr>
        <xdr:cNvPr id="6" name="Rectángulo: biselado 5">
          <a:extLst>
            <a:ext uri="{FF2B5EF4-FFF2-40B4-BE49-F238E27FC236}">
              <a16:creationId xmlns:a16="http://schemas.microsoft.com/office/drawing/2014/main" id="{39722C29-FF3B-4B86-AE06-F6BA4812E0A9}"/>
            </a:ext>
          </a:extLst>
        </xdr:cNvPr>
        <xdr:cNvSpPr/>
      </xdr:nvSpPr>
      <xdr:spPr>
        <a:xfrm>
          <a:off x="13020675" y="4337685"/>
          <a:ext cx="1485900" cy="489585"/>
        </a:xfrm>
        <a:prstGeom prst="bevel">
          <a:avLst/>
        </a:prstGeom>
        <a:solidFill>
          <a:schemeClr val="accent2"/>
        </a:solidFill>
        <a:ln w="19050">
          <a:solidFill>
            <a:schemeClr val="accent2">
              <a:lumMod val="20000"/>
              <a:lumOff val="8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  <a:latin typeface="Agency FB" panose="020B0503020202020204" pitchFamily="34" charset="0"/>
            </a:rPr>
            <a:t>GUARDAR</a:t>
          </a:r>
        </a:p>
      </xdr:txBody>
    </xdr:sp>
    <xdr:clientData/>
  </xdr:twoCellAnchor>
  <xdr:twoCellAnchor>
    <xdr:from>
      <xdr:col>1</xdr:col>
      <xdr:colOff>121920</xdr:colOff>
      <xdr:row>0</xdr:row>
      <xdr:rowOff>22860</xdr:rowOff>
    </xdr:from>
    <xdr:to>
      <xdr:col>5</xdr:col>
      <xdr:colOff>525780</xdr:colOff>
      <xdr:row>23</xdr:row>
      <xdr:rowOff>167640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73903B5-6C7D-450E-BE04-1F28284DA901}"/>
            </a:ext>
          </a:extLst>
        </xdr:cNvPr>
        <xdr:cNvSpPr/>
      </xdr:nvSpPr>
      <xdr:spPr>
        <a:xfrm>
          <a:off x="914400" y="22860"/>
          <a:ext cx="6598920" cy="6515100"/>
        </a:xfrm>
        <a:prstGeom prst="roundRect">
          <a:avLst/>
        </a:prstGeom>
        <a:noFill/>
        <a:ln w="38100">
          <a:solidFill>
            <a:schemeClr val="accent4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144780</xdr:colOff>
      <xdr:row>0</xdr:row>
      <xdr:rowOff>38100</xdr:rowOff>
    </xdr:from>
    <xdr:to>
      <xdr:col>11</xdr:col>
      <xdr:colOff>579120</xdr:colOff>
      <xdr:row>20</xdr:row>
      <xdr:rowOff>114300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FA62677-799C-4E19-900A-84C4DCB358AF}"/>
            </a:ext>
          </a:extLst>
        </xdr:cNvPr>
        <xdr:cNvSpPr/>
      </xdr:nvSpPr>
      <xdr:spPr>
        <a:xfrm>
          <a:off x="9593580" y="38100"/>
          <a:ext cx="6368415" cy="4886325"/>
        </a:xfrm>
        <a:prstGeom prst="roundRect">
          <a:avLst/>
        </a:prstGeom>
        <a:noFill/>
        <a:ln w="38100">
          <a:solidFill>
            <a:schemeClr val="accent4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563880</xdr:colOff>
      <xdr:row>21</xdr:row>
      <xdr:rowOff>114300</xdr:rowOff>
    </xdr:from>
    <xdr:to>
      <xdr:col>11</xdr:col>
      <xdr:colOff>321945</xdr:colOff>
      <xdr:row>27</xdr:row>
      <xdr:rowOff>133350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9818D406-0877-46B1-BB16-513DF07770F1}"/>
            </a:ext>
          </a:extLst>
        </xdr:cNvPr>
        <xdr:cNvSpPr/>
      </xdr:nvSpPr>
      <xdr:spPr>
        <a:xfrm>
          <a:off x="8298180" y="5153025"/>
          <a:ext cx="7920990" cy="1390650"/>
        </a:xfrm>
        <a:prstGeom prst="roundRect">
          <a:avLst/>
        </a:prstGeom>
        <a:gradFill flip="none" rotWithShape="1">
          <a:gsLst>
            <a:gs pos="0">
              <a:schemeClr val="accent4">
                <a:lumMod val="5000"/>
                <a:lumOff val="95000"/>
              </a:schemeClr>
            </a:gs>
            <a:gs pos="74000">
              <a:schemeClr val="accent4">
                <a:lumMod val="45000"/>
                <a:lumOff val="55000"/>
              </a:schemeClr>
            </a:gs>
            <a:gs pos="83000">
              <a:schemeClr val="accent4">
                <a:lumMod val="45000"/>
                <a:lumOff val="55000"/>
              </a:schemeClr>
            </a:gs>
            <a:gs pos="100000">
              <a:schemeClr val="accent4">
                <a:lumMod val="30000"/>
                <a:lumOff val="70000"/>
              </a:schemeClr>
            </a:gs>
          </a:gsLst>
          <a:lin ang="5400000" scaled="1"/>
          <a:tileRect/>
        </a:gradFill>
        <a:ln w="38100">
          <a:solidFill>
            <a:schemeClr val="accent4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1621155</xdr:colOff>
      <xdr:row>23</xdr:row>
      <xdr:rowOff>24765</xdr:rowOff>
    </xdr:from>
    <xdr:to>
      <xdr:col>10</xdr:col>
      <xdr:colOff>2070735</xdr:colOff>
      <xdr:row>26</xdr:row>
      <xdr:rowOff>70485</xdr:rowOff>
    </xdr:to>
    <xdr:sp macro="[0]!IRbaseDEdatos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4B46C230-862F-4001-84B2-DB9359BB228D}"/>
            </a:ext>
          </a:extLst>
        </xdr:cNvPr>
        <xdr:cNvSpPr/>
      </xdr:nvSpPr>
      <xdr:spPr>
        <a:xfrm>
          <a:off x="10822305" y="5520690"/>
          <a:ext cx="3164205" cy="731520"/>
        </a:xfrm>
        <a:prstGeom prst="bevel">
          <a:avLst/>
        </a:prstGeom>
        <a:solidFill>
          <a:schemeClr val="accent2"/>
        </a:solidFill>
        <a:ln w="19050">
          <a:solidFill>
            <a:schemeClr val="accent2">
              <a:lumMod val="20000"/>
              <a:lumOff val="8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  <a:latin typeface="Agency FB" panose="020B0503020202020204" pitchFamily="34" charset="0"/>
            </a:rPr>
            <a:t>IR</a:t>
          </a:r>
          <a:r>
            <a:rPr lang="es-CO" sz="1800" b="1" baseline="0">
              <a:solidFill>
                <a:sysClr val="windowText" lastClr="000000"/>
              </a:solidFill>
              <a:latin typeface="Agency FB" panose="020B0503020202020204" pitchFamily="34" charset="0"/>
            </a:rPr>
            <a:t> A BASE DE DATOS</a:t>
          </a:r>
          <a:endParaRPr lang="es-CO" sz="1800" b="1">
            <a:solidFill>
              <a:sysClr val="windowText" lastClr="000000"/>
            </a:solidFill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358140</xdr:colOff>
      <xdr:row>17</xdr:row>
      <xdr:rowOff>7621</xdr:rowOff>
    </xdr:from>
    <xdr:to>
      <xdr:col>4</xdr:col>
      <xdr:colOff>1127760</xdr:colOff>
      <xdr:row>22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rea_ingreso">
              <a:extLst>
                <a:ext uri="{FF2B5EF4-FFF2-40B4-BE49-F238E27FC236}">
                  <a16:creationId xmlns:a16="http://schemas.microsoft.com/office/drawing/2014/main" id="{D0B5E5EB-73BC-4E00-8D01-0D8BD1205A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_ingres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9740" y="3116581"/>
              <a:ext cx="1828800" cy="9067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358140</xdr:colOff>
      <xdr:row>10</xdr:row>
      <xdr:rowOff>175261</xdr:rowOff>
    </xdr:from>
    <xdr:to>
      <xdr:col>4</xdr:col>
      <xdr:colOff>1127760</xdr:colOff>
      <xdr:row>16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_ingreso">
              <a:extLst>
                <a:ext uri="{FF2B5EF4-FFF2-40B4-BE49-F238E27FC236}">
                  <a16:creationId xmlns:a16="http://schemas.microsoft.com/office/drawing/2014/main" id="{BDF09129-47DE-4FE9-9D19-F7BB62689F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_ingres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9740" y="2004061"/>
              <a:ext cx="1828800" cy="922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327660</xdr:colOff>
      <xdr:row>1</xdr:row>
      <xdr:rowOff>175261</xdr:rowOff>
    </xdr:from>
    <xdr:to>
      <xdr:col>4</xdr:col>
      <xdr:colOff>1097280</xdr:colOff>
      <xdr:row>9</xdr:row>
      <xdr:rowOff>160021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ia_ingreso">
              <a:extLst>
                <a:ext uri="{FF2B5EF4-FFF2-40B4-BE49-F238E27FC236}">
                  <a16:creationId xmlns:a16="http://schemas.microsoft.com/office/drawing/2014/main" id="{C5BBD06E-A2C2-4756-A7FA-87F3506A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_ingres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9260" y="358141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381000</xdr:colOff>
      <xdr:row>22</xdr:row>
      <xdr:rowOff>106681</xdr:rowOff>
    </xdr:from>
    <xdr:to>
      <xdr:col>4</xdr:col>
      <xdr:colOff>1150620</xdr:colOff>
      <xdr:row>27</xdr:row>
      <xdr:rowOff>129541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oneda">
              <a:extLst>
                <a:ext uri="{FF2B5EF4-FFF2-40B4-BE49-F238E27FC236}">
                  <a16:creationId xmlns:a16="http://schemas.microsoft.com/office/drawing/2014/main" id="{C3331D70-824B-460A-932D-2768E2BFD9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e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2600" y="4130041"/>
              <a:ext cx="1828800" cy="937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30480</xdr:colOff>
      <xdr:row>1</xdr:row>
      <xdr:rowOff>160020</xdr:rowOff>
    </xdr:from>
    <xdr:to>
      <xdr:col>13</xdr:col>
      <xdr:colOff>548640</xdr:colOff>
      <xdr:row>27</xdr:row>
      <xdr:rowOff>83820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CD5BFB8-8CF1-4990-8EC8-0B4A629F2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60960</xdr:rowOff>
    </xdr:from>
    <xdr:to>
      <xdr:col>12</xdr:col>
      <xdr:colOff>746760</xdr:colOff>
      <xdr:row>24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B96866B-1DAC-4BF1-9673-746E359A4CEE}"/>
            </a:ext>
          </a:extLst>
        </xdr:cNvPr>
        <xdr:cNvSpPr/>
      </xdr:nvSpPr>
      <xdr:spPr>
        <a:xfrm>
          <a:off x="266700" y="60960"/>
          <a:ext cx="9387840" cy="4465320"/>
        </a:xfrm>
        <a:prstGeom prst="roundRect">
          <a:avLst>
            <a:gd name="adj" fmla="val 8306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388620</xdr:colOff>
      <xdr:row>0</xdr:row>
      <xdr:rowOff>152400</xdr:rowOff>
    </xdr:from>
    <xdr:to>
      <xdr:col>11</xdr:col>
      <xdr:colOff>434340</xdr:colOff>
      <xdr:row>2</xdr:row>
      <xdr:rowOff>45720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DA14C35-4601-4091-9F65-84F2E12FC9F0}"/>
            </a:ext>
          </a:extLst>
        </xdr:cNvPr>
        <xdr:cNvSpPr/>
      </xdr:nvSpPr>
      <xdr:spPr>
        <a:xfrm>
          <a:off x="1371600" y="152400"/>
          <a:ext cx="7178040" cy="259080"/>
        </a:xfrm>
        <a:prstGeom prst="rect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DASHBOARD GENERAL DE DATOS MENSUALES</a:t>
          </a:r>
          <a:r>
            <a:rPr lang="es-CO" sz="1400" b="1" baseline="0"/>
            <a:t> JORGE APELLIDO</a:t>
          </a:r>
          <a:endParaRPr lang="es-CO" sz="1400" b="1"/>
        </a:p>
      </xdr:txBody>
    </xdr:sp>
    <xdr:clientData/>
  </xdr:twoCellAnchor>
  <xdr:twoCellAnchor editAs="oneCell">
    <xdr:from>
      <xdr:col>1</xdr:col>
      <xdr:colOff>210095</xdr:colOff>
      <xdr:row>2</xdr:row>
      <xdr:rowOff>141514</xdr:rowOff>
    </xdr:from>
    <xdr:to>
      <xdr:col>2</xdr:col>
      <xdr:colOff>277587</xdr:colOff>
      <xdr:row>7</xdr:row>
      <xdr:rowOff>133894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dia_ingreso 1">
              <a:extLst>
                <a:ext uri="{FF2B5EF4-FFF2-40B4-BE49-F238E27FC236}">
                  <a16:creationId xmlns:a16="http://schemas.microsoft.com/office/drawing/2014/main" id="{F6103D52-F441-4DAA-9521-3A7D8BCE80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_ingre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059" y="501732"/>
              <a:ext cx="857201" cy="892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327660</xdr:colOff>
      <xdr:row>2</xdr:row>
      <xdr:rowOff>141515</xdr:rowOff>
    </xdr:from>
    <xdr:to>
      <xdr:col>3</xdr:col>
      <xdr:colOff>560615</xdr:colOff>
      <xdr:row>8</xdr:row>
      <xdr:rowOff>65315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mes_ingreso 1">
              <a:extLst>
                <a:ext uri="{FF2B5EF4-FFF2-40B4-BE49-F238E27FC236}">
                  <a16:creationId xmlns:a16="http://schemas.microsoft.com/office/drawing/2014/main" id="{3C14348B-9D71-4AEA-875C-A0ED180845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_ingre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1333" y="501733"/>
              <a:ext cx="1022664" cy="1004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605245</xdr:colOff>
      <xdr:row>2</xdr:row>
      <xdr:rowOff>133895</xdr:rowOff>
    </xdr:from>
    <xdr:to>
      <xdr:col>4</xdr:col>
      <xdr:colOff>653143</xdr:colOff>
      <xdr:row>8</xdr:row>
      <xdr:rowOff>103415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rea_ingreso 1">
              <a:extLst>
                <a:ext uri="{FF2B5EF4-FFF2-40B4-BE49-F238E27FC236}">
                  <a16:creationId xmlns:a16="http://schemas.microsoft.com/office/drawing/2014/main" id="{55351C2E-82B7-45A6-806C-2A29533EFE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_ingre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78627" y="494113"/>
              <a:ext cx="837607" cy="105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252550</xdr:colOff>
      <xdr:row>2</xdr:row>
      <xdr:rowOff>130629</xdr:rowOff>
    </xdr:from>
    <xdr:to>
      <xdr:col>8</xdr:col>
      <xdr:colOff>217714</xdr:colOff>
      <xdr:row>7</xdr:row>
      <xdr:rowOff>136071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A56E772A-5A1C-4ECB-B281-3AC98047FDCA}"/>
            </a:ext>
          </a:extLst>
        </xdr:cNvPr>
        <xdr:cNvSpPr/>
      </xdr:nvSpPr>
      <xdr:spPr>
        <a:xfrm>
          <a:off x="4416336" y="500743"/>
          <a:ext cx="1554478" cy="930728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b="1">
              <a:solidFill>
                <a:sysClr val="windowText" lastClr="000000"/>
              </a:solidFill>
            </a:rPr>
            <a:t>INGRESO AL</a:t>
          </a:r>
          <a:r>
            <a:rPr lang="es-CO" sz="1100" b="1" baseline="0">
              <a:solidFill>
                <a:sysClr val="windowText" lastClr="000000"/>
              </a:solidFill>
            </a:rPr>
            <a:t> MES EN PLANTA (LTS)</a:t>
          </a:r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315685</xdr:colOff>
      <xdr:row>4</xdr:row>
      <xdr:rowOff>173084</xdr:rowOff>
    </xdr:from>
    <xdr:to>
      <xdr:col>7</xdr:col>
      <xdr:colOff>424542</xdr:colOff>
      <xdr:row>7</xdr:row>
      <xdr:rowOff>94707</xdr:rowOff>
    </xdr:to>
    <xdr:sp macro="" textlink="ANALISIS_PLANTA!B2">
      <xdr:nvSpPr>
        <xdr:cNvPr id="16" name="CuadroTexto 15">
          <a:extLst>
            <a:ext uri="{FF2B5EF4-FFF2-40B4-BE49-F238E27FC236}">
              <a16:creationId xmlns:a16="http://schemas.microsoft.com/office/drawing/2014/main" id="{943C6A96-FAE9-4518-BE26-82B599F555D2}"/>
            </a:ext>
          </a:extLst>
        </xdr:cNvPr>
        <xdr:cNvSpPr txBox="1"/>
      </xdr:nvSpPr>
      <xdr:spPr>
        <a:xfrm>
          <a:off x="4479471" y="913313"/>
          <a:ext cx="903514" cy="476794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FE1E2A3-209E-4745-9626-4B6DB7FF46B8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17778</a:t>
          </a:fld>
          <a:endParaRPr lang="es-CO" sz="2400">
            <a:latin typeface="Bauhaus 93" panose="04030905020B02020C02" pitchFamily="82" charset="0"/>
          </a:endParaRPr>
        </a:p>
      </xdr:txBody>
    </xdr:sp>
    <xdr:clientData/>
  </xdr:twoCellAnchor>
  <xdr:twoCellAnchor editAs="oneCell">
    <xdr:from>
      <xdr:col>7</xdr:col>
      <xdr:colOff>507764</xdr:colOff>
      <xdr:row>4</xdr:row>
      <xdr:rowOff>168728</xdr:rowOff>
    </xdr:from>
    <xdr:to>
      <xdr:col>8</xdr:col>
      <xdr:colOff>112872</xdr:colOff>
      <xdr:row>7</xdr:row>
      <xdr:rowOff>15441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34EA237-F998-438E-88D1-EDA6AE404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9982" y="889164"/>
          <a:ext cx="394817" cy="387041"/>
        </a:xfrm>
        <a:prstGeom prst="rect">
          <a:avLst/>
        </a:prstGeom>
      </xdr:spPr>
    </xdr:pic>
    <xdr:clientData/>
  </xdr:twoCellAnchor>
  <xdr:twoCellAnchor editAs="oneCell">
    <xdr:from>
      <xdr:col>4</xdr:col>
      <xdr:colOff>693420</xdr:colOff>
      <xdr:row>2</xdr:row>
      <xdr:rowOff>137160</xdr:rowOff>
    </xdr:from>
    <xdr:to>
      <xdr:col>6</xdr:col>
      <xdr:colOff>168728</xdr:colOff>
      <xdr:row>7</xdr:row>
      <xdr:rowOff>160020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oneda 1">
              <a:extLst>
                <a:ext uri="{FF2B5EF4-FFF2-40B4-BE49-F238E27FC236}">
                  <a16:creationId xmlns:a16="http://schemas.microsoft.com/office/drawing/2014/main" id="{B4E76AAC-6A49-44E2-8FC5-7112773F18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ed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56511" y="497378"/>
              <a:ext cx="1054726" cy="9234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165463</xdr:colOff>
      <xdr:row>9</xdr:row>
      <xdr:rowOff>21771</xdr:rowOff>
    </xdr:from>
    <xdr:to>
      <xdr:col>6</xdr:col>
      <xdr:colOff>477982</xdr:colOff>
      <xdr:row>24</xdr:row>
      <xdr:rowOff>13855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E9259BA0-8CF7-4CAE-8431-A47C75781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292925</xdr:colOff>
      <xdr:row>2</xdr:row>
      <xdr:rowOff>109352</xdr:rowOff>
    </xdr:from>
    <xdr:to>
      <xdr:col>12</xdr:col>
      <xdr:colOff>522021</xdr:colOff>
      <xdr:row>16</xdr:row>
      <xdr:rowOff>41564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6D0520E2-E4EB-4FE8-8A7D-85274C3A10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176647</xdr:colOff>
      <xdr:row>18</xdr:row>
      <xdr:rowOff>52944</xdr:rowOff>
    </xdr:from>
    <xdr:to>
      <xdr:col>15</xdr:col>
      <xdr:colOff>426569</xdr:colOff>
      <xdr:row>25</xdr:row>
      <xdr:rowOff>74716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AREA_MAQ 1">
              <a:extLst>
                <a:ext uri="{FF2B5EF4-FFF2-40B4-BE49-F238E27FC236}">
                  <a16:creationId xmlns:a16="http://schemas.microsoft.com/office/drawing/2014/main" id="{26C894F5-BF98-4AEF-A2F1-B815667A26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_MAQ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47120" y="3294908"/>
              <a:ext cx="1214250" cy="12825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157845</xdr:colOff>
      <xdr:row>4</xdr:row>
      <xdr:rowOff>116874</xdr:rowOff>
    </xdr:from>
    <xdr:to>
      <xdr:col>15</xdr:col>
      <xdr:colOff>520978</xdr:colOff>
      <xdr:row>17</xdr:row>
      <xdr:rowOff>178105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ID_MAQUINA 1">
              <a:extLst>
                <a:ext uri="{FF2B5EF4-FFF2-40B4-BE49-F238E27FC236}">
                  <a16:creationId xmlns:a16="http://schemas.microsoft.com/office/drawing/2014/main" id="{BE9A4980-FED3-430C-840A-3F5788FF08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_MAQUI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28318" y="837310"/>
              <a:ext cx="1312221" cy="2402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157347</xdr:colOff>
      <xdr:row>0</xdr:row>
      <xdr:rowOff>61354</xdr:rowOff>
    </xdr:from>
    <xdr:to>
      <xdr:col>15</xdr:col>
      <xdr:colOff>167193</xdr:colOff>
      <xdr:row>4</xdr:row>
      <xdr:rowOff>41564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MES_CARGA_MAQ 1">
              <a:extLst>
                <a:ext uri="{FF2B5EF4-FFF2-40B4-BE49-F238E27FC236}">
                  <a16:creationId xmlns:a16="http://schemas.microsoft.com/office/drawing/2014/main" id="{35B9C917-74CA-4D57-98A3-2E4812A73D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_CARGA_MAQ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27820" y="61354"/>
              <a:ext cx="958934" cy="7006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509155</xdr:colOff>
      <xdr:row>14</xdr:row>
      <xdr:rowOff>117762</xdr:rowOff>
    </xdr:from>
    <xdr:to>
      <xdr:col>10</xdr:col>
      <xdr:colOff>387928</xdr:colOff>
      <xdr:row>24</xdr:row>
      <xdr:rowOff>48492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E0900834-B49D-4729-9076-DDAF57821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557646</xdr:colOff>
      <xdr:row>16</xdr:row>
      <xdr:rowOff>138546</xdr:rowOff>
    </xdr:from>
    <xdr:to>
      <xdr:col>12</xdr:col>
      <xdr:colOff>519545</xdr:colOff>
      <xdr:row>23</xdr:row>
      <xdr:rowOff>76199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4004F04-4EA2-4C06-8A22-5D622BEBC049}"/>
            </a:ext>
          </a:extLst>
        </xdr:cNvPr>
        <xdr:cNvSpPr/>
      </xdr:nvSpPr>
      <xdr:spPr>
        <a:xfrm>
          <a:off x="7858991" y="3020291"/>
          <a:ext cx="1541318" cy="1198417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b="1">
              <a:solidFill>
                <a:sysClr val="windowText" lastClr="000000"/>
              </a:solidFill>
            </a:rPr>
            <a:t>LITROS</a:t>
          </a:r>
          <a:r>
            <a:rPr lang="es-CO" sz="1100" b="1" baseline="0">
              <a:solidFill>
                <a:sysClr val="windowText" lastClr="000000"/>
              </a:solidFill>
            </a:rPr>
            <a:t> EN INVENTARIO</a:t>
          </a:r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692728</xdr:colOff>
      <xdr:row>19</xdr:row>
      <xdr:rowOff>145472</xdr:rowOff>
    </xdr:from>
    <xdr:to>
      <xdr:col>12</xdr:col>
      <xdr:colOff>193963</xdr:colOff>
      <xdr:row>22</xdr:row>
      <xdr:rowOff>96982</xdr:rowOff>
    </xdr:to>
    <xdr:sp macro="" textlink="ANALISIS_PLANTA!O4">
      <xdr:nvSpPr>
        <xdr:cNvPr id="29" name="CuadroTexto 28">
          <a:extLst>
            <a:ext uri="{FF2B5EF4-FFF2-40B4-BE49-F238E27FC236}">
              <a16:creationId xmlns:a16="http://schemas.microsoft.com/office/drawing/2014/main" id="{E7C2764D-25E4-44B5-80AD-E58D2C0FB97B}"/>
            </a:ext>
          </a:extLst>
        </xdr:cNvPr>
        <xdr:cNvSpPr txBox="1"/>
      </xdr:nvSpPr>
      <xdr:spPr>
        <a:xfrm>
          <a:off x="7994073" y="3567545"/>
          <a:ext cx="1080654" cy="491837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F5707F9-16D2-4622-989B-65E47EA0CB8B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17698</a:t>
          </a:fld>
          <a:endParaRPr lang="es-CO" sz="2400"/>
        </a:p>
      </xdr:txBody>
    </xdr:sp>
    <xdr:clientData/>
  </xdr:twoCellAnchor>
  <xdr:twoCellAnchor editAs="oneCell">
    <xdr:from>
      <xdr:col>11</xdr:col>
      <xdr:colOff>711430</xdr:colOff>
      <xdr:row>17</xdr:row>
      <xdr:rowOff>134388</xdr:rowOff>
    </xdr:from>
    <xdr:to>
      <xdr:col>12</xdr:col>
      <xdr:colOff>496685</xdr:colOff>
      <xdr:row>20</xdr:row>
      <xdr:rowOff>169025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A3F89BD9-BFC3-4291-8C69-62DAD591E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6730" y="3243348"/>
          <a:ext cx="577735" cy="5832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175260</xdr:colOff>
      <xdr:row>0</xdr:row>
      <xdr:rowOff>91441</xdr:rowOff>
    </xdr:from>
    <xdr:to>
      <xdr:col>3</xdr:col>
      <xdr:colOff>632460</xdr:colOff>
      <xdr:row>8</xdr:row>
      <xdr:rowOff>114301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REA_MAQ">
              <a:extLst>
                <a:ext uri="{FF2B5EF4-FFF2-40B4-BE49-F238E27FC236}">
                  <a16:creationId xmlns:a16="http://schemas.microsoft.com/office/drawing/2014/main" id="{150616AB-B58B-4341-9E73-0E7BC68BD6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_MAQ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26180" y="91441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190500</xdr:colOff>
      <xdr:row>9</xdr:row>
      <xdr:rowOff>60961</xdr:rowOff>
    </xdr:from>
    <xdr:to>
      <xdr:col>3</xdr:col>
      <xdr:colOff>647700</xdr:colOff>
      <xdr:row>14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ES_CARGA_MAQ">
              <a:extLst>
                <a:ext uri="{FF2B5EF4-FFF2-40B4-BE49-F238E27FC236}">
                  <a16:creationId xmlns:a16="http://schemas.microsoft.com/office/drawing/2014/main" id="{069E72C7-C613-4F31-88DC-DC36E39745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_CARGA_MAQ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41420" y="1706881"/>
              <a:ext cx="1828800" cy="9296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190500</xdr:colOff>
      <xdr:row>14</xdr:row>
      <xdr:rowOff>121920</xdr:rowOff>
    </xdr:from>
    <xdr:to>
      <xdr:col>3</xdr:col>
      <xdr:colOff>647700</xdr:colOff>
      <xdr:row>28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D_MAQUINA">
              <a:extLst>
                <a:ext uri="{FF2B5EF4-FFF2-40B4-BE49-F238E27FC236}">
                  <a16:creationId xmlns:a16="http://schemas.microsoft.com/office/drawing/2014/main" id="{533EE109-0859-41E4-A8F4-2D0FD411B5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_MAQU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41420" y="26822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228600</xdr:colOff>
      <xdr:row>0</xdr:row>
      <xdr:rowOff>167640</xdr:rowOff>
    </xdr:from>
    <xdr:to>
      <xdr:col>11</xdr:col>
      <xdr:colOff>312420</xdr:colOff>
      <xdr:row>17</xdr:row>
      <xdr:rowOff>175260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9BAACBF-655C-4F39-9BB9-3AD9FB4AC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213360</xdr:colOff>
      <xdr:row>18</xdr:row>
      <xdr:rowOff>45720</xdr:rowOff>
    </xdr:from>
    <xdr:to>
      <xdr:col>11</xdr:col>
      <xdr:colOff>320040</xdr:colOff>
      <xdr:row>30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CE766A10-1F5C-40FD-81AD-EB2ED4CDC6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oelys Reinales" refreshedDate="45398.673839120369" createdVersion="6" refreshedVersion="6" minRefreshableVersion="3" recordCount="12" xr:uid="{DC65B9C1-ED2F-4156-A5B5-D8843BF17586}">
  <cacheSource type="worksheet">
    <worksheetSource name="Tabla1"/>
  </cacheSource>
  <cacheFields count="12">
    <cacheField name="codigo" numFmtId="0">
      <sharedItems/>
    </cacheField>
    <cacheField name="descrip_producto" numFmtId="0">
      <sharedItems count="12">
        <s v="AQUAQUENCH 245"/>
        <s v="ACEITE HIDRAULICO MH 300 (ISO 68)"/>
        <s v="SHELL TONNA S2"/>
        <s v="EMULCUT 100"/>
        <s v="B TEMP 912"/>
        <s v="B COOL 60 (1316)"/>
        <s v="DEFOAMER 1587"/>
        <s v="HISPYN ZZ"/>
        <s v="RUST VETO 4240"/>
        <s v="OAKITE"/>
        <s v="INHIBIDOR 70"/>
        <s v="ACUATEMP 115"/>
      </sharedItems>
    </cacheField>
    <cacheField name="unidad_medida" numFmtId="0">
      <sharedItems/>
    </cacheField>
    <cacheField name="presentacion" numFmtId="0">
      <sharedItems/>
    </cacheField>
    <cacheField name="packing" numFmtId="0">
      <sharedItems containsSemiMixedTypes="0" containsString="0" containsNumber="1" containsInteger="1" minValue="19" maxValue="1000"/>
    </cacheField>
    <cacheField name="precio_unitario" numFmtId="0">
      <sharedItems containsSemiMixedTypes="0" containsString="0" containsNumber="1" containsInteger="1" minValue="10" maxValue="10"/>
    </cacheField>
    <cacheField name="moneda" numFmtId="0">
      <sharedItems count="2">
        <s v="USD"/>
        <s v="MXN"/>
      </sharedItems>
    </cacheField>
    <cacheField name="cant_ingreso_planta" numFmtId="0">
      <sharedItems containsSemiMixedTypes="0" containsString="0" containsNumber="1" containsInteger="1" minValue="190" maxValue="5000"/>
    </cacheField>
    <cacheField name="dia_ingreso" numFmtId="0">
      <sharedItems containsSemiMixedTypes="0" containsString="0" containsNumber="1" containsInteger="1" minValue="1" maxValue="4" count="4">
        <n v="1"/>
        <n v="2"/>
        <n v="4"/>
        <n v="3"/>
      </sharedItems>
    </cacheField>
    <cacheField name="mes_ingreso" numFmtId="0">
      <sharedItems count="1">
        <s v="MARZO"/>
      </sharedItems>
    </cacheField>
    <cacheField name="area_ingreso" numFmtId="0">
      <sharedItems containsMixedTypes="1" containsNumber="1" containsInteger="1" minValue="2024" maxValue="2024" count="3">
        <s v="HAAS"/>
        <s v="DANA"/>
        <n v="2024" u="1"/>
      </sharedItems>
    </cacheField>
    <cacheField name="gasto_litro" numFmtId="164">
      <sharedItems containsSemiMixedTypes="0" containsString="0" containsNumber="1" containsInteger="1" minValue="1900" maxValue="50000"/>
    </cacheField>
  </cacheFields>
  <extLst>
    <ext xmlns:x14="http://schemas.microsoft.com/office/spreadsheetml/2009/9/main" uri="{725AE2AE-9491-48be-B2B4-4EB974FC3084}">
      <x14:pivotCacheDefinition pivotCacheId="43837175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lys Reinales" refreshedDate="45398.67401909722" createdVersion="6" refreshedVersion="6" minRefreshableVersion="3" recordCount="32" xr:uid="{BA4B3642-2753-44DA-BAF1-E7633372690D}">
  <cacheSource type="worksheet">
    <worksheetSource name="Tabla3"/>
  </cacheSource>
  <cacheFields count="11">
    <cacheField name="CODIGO" numFmtId="0">
      <sharedItems/>
    </cacheField>
    <cacheField name="Descripcion_producto" numFmtId="0">
      <sharedItems count="5">
        <s v="AQUAQUENCH 245"/>
        <s v="DEFOAMER 1587"/>
        <s v="EMULCUT 100"/>
        <s v="SHELL TONNA S2"/>
        <s v="ACEITE HIDRAULICO MH 300 (ISO 68)"/>
      </sharedItems>
    </cacheField>
    <cacheField name="Precio_unitario" numFmtId="0">
      <sharedItems containsSemiMixedTypes="0" containsString="0" containsNumber="1" containsInteger="1" minValue="10" maxValue="10"/>
    </cacheField>
    <cacheField name="moneda" numFmtId="0">
      <sharedItems/>
    </cacheField>
    <cacheField name="ID_MAQUINA" numFmtId="0">
      <sharedItems containsMixedTypes="1" containsNumber="1" containsInteger="1" minValue="107" maxValue="107" count="30">
        <n v="107"/>
        <s v="BE0075"/>
        <s v="M1149"/>
        <s v="M1054"/>
        <s v="M0636"/>
        <s v="M1184"/>
        <s v="M1201"/>
        <s v="M1200"/>
        <s v="M1081"/>
        <s v="M1219"/>
        <s v="M1220"/>
        <s v="M781"/>
        <s v="M929"/>
        <s v="datoPerdido"/>
        <s v="M1226"/>
        <s v="MM017"/>
        <s v="M1096"/>
        <s v="BM0075"/>
        <s v="BM0078"/>
        <s v="BM0076"/>
        <s v="BM0042"/>
        <s v="BM0043"/>
        <s v="BM0041"/>
        <s v="BM0039"/>
        <s v="BM0040"/>
        <s v="M0667"/>
        <s v="M776"/>
        <s v="M1128"/>
        <s v="MM0011"/>
        <s v="M1101"/>
      </sharedItems>
    </cacheField>
    <cacheField name="AREA_MAQ" numFmtId="0">
      <sharedItems count="5">
        <s v="CRUCETAS"/>
        <s v="VARIABLES"/>
        <s v="SEMIEJES"/>
        <s v="CONSTANTES"/>
        <s v="JL"/>
      </sharedItems>
    </cacheField>
    <cacheField name="LITROS_MAQ" numFmtId="0">
      <sharedItems containsSemiMixedTypes="0" containsString="0" containsNumber="1" containsInteger="1" minValue="1" maxValue="200"/>
    </cacheField>
    <cacheField name="DIA_CARGA_MAQ" numFmtId="0">
      <sharedItems containsSemiMixedTypes="0" containsString="0" containsNumber="1" containsInteger="1" minValue="1" maxValue="2"/>
    </cacheField>
    <cacheField name="MES_CARGA_MAQ" numFmtId="0">
      <sharedItems count="2">
        <s v="ABRIL"/>
        <s v="MARZO"/>
      </sharedItems>
    </cacheField>
    <cacheField name="ANIO" numFmtId="0">
      <sharedItems containsSemiMixedTypes="0" containsString="0" containsNumber="1" containsInteger="1" minValue="2024" maxValue="2024"/>
    </cacheField>
    <cacheField name="GASTO_MAQ" numFmtId="0">
      <sharedItems containsSemiMixedTypes="0" containsString="0" containsNumber="1" containsInteger="1" minValue="10" maxValue="2000"/>
    </cacheField>
  </cacheFields>
  <extLst>
    <ext xmlns:x14="http://schemas.microsoft.com/office/spreadsheetml/2009/9/main" uri="{725AE2AE-9491-48be-B2B4-4EB974FC3084}">
      <x14:pivotCacheDefinition pivotCacheId="197070437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DQ-0107"/>
    <x v="0"/>
    <s v="LITRO"/>
    <s v="TAMBO 200"/>
    <n v="200"/>
    <n v="10"/>
    <x v="0"/>
    <n v="5000"/>
    <x v="0"/>
    <x v="0"/>
    <x v="0"/>
    <n v="50000"/>
  </r>
  <r>
    <s v="DQ-0019"/>
    <x v="1"/>
    <s v="LITRO"/>
    <s v="TOTE "/>
    <n v="1000"/>
    <n v="10"/>
    <x v="1"/>
    <n v="2000"/>
    <x v="1"/>
    <x v="0"/>
    <x v="0"/>
    <n v="20000"/>
  </r>
  <r>
    <s v="DQ-0047"/>
    <x v="2"/>
    <s v="LITRO"/>
    <s v="TAMBO "/>
    <n v="208"/>
    <n v="10"/>
    <x v="1"/>
    <n v="832"/>
    <x v="1"/>
    <x v="0"/>
    <x v="1"/>
    <n v="8320"/>
  </r>
  <r>
    <s v="DQ-0012"/>
    <x v="3"/>
    <s v="LITRO"/>
    <s v="TAMBO"/>
    <n v="200"/>
    <n v="10"/>
    <x v="0"/>
    <n v="3000"/>
    <x v="1"/>
    <x v="0"/>
    <x v="0"/>
    <n v="30000"/>
  </r>
  <r>
    <s v="DQ-0117"/>
    <x v="4"/>
    <s v="LITRO"/>
    <s v="TAMBO"/>
    <n v="200"/>
    <n v="10"/>
    <x v="0"/>
    <n v="600"/>
    <x v="2"/>
    <x v="0"/>
    <x v="0"/>
    <n v="6000"/>
  </r>
  <r>
    <s v="DQ-0116"/>
    <x v="5"/>
    <s v="LITRO"/>
    <s v="TAMBO"/>
    <n v="200"/>
    <n v="10"/>
    <x v="0"/>
    <n v="5000"/>
    <x v="2"/>
    <x v="0"/>
    <x v="0"/>
    <n v="50000"/>
  </r>
  <r>
    <s v="DQ-0078"/>
    <x v="6"/>
    <s v="LITRO"/>
    <s v="CUBETA "/>
    <n v="19"/>
    <n v="10"/>
    <x v="0"/>
    <n v="190"/>
    <x v="2"/>
    <x v="0"/>
    <x v="0"/>
    <n v="1900"/>
  </r>
  <r>
    <s v="DQ-0077"/>
    <x v="7"/>
    <s v="LITRO"/>
    <s v="TAMBO "/>
    <n v="208"/>
    <n v="10"/>
    <x v="0"/>
    <n v="208"/>
    <x v="2"/>
    <x v="0"/>
    <x v="0"/>
    <n v="2080"/>
  </r>
  <r>
    <s v="DQ-0071"/>
    <x v="8"/>
    <s v="LITRO"/>
    <s v="TAMBO "/>
    <n v="200"/>
    <n v="10"/>
    <x v="0"/>
    <n v="200"/>
    <x v="2"/>
    <x v="0"/>
    <x v="0"/>
    <n v="2000"/>
  </r>
  <r>
    <s v="DQ-0062"/>
    <x v="9"/>
    <s v="GALON"/>
    <s v="TAMBO "/>
    <n v="200"/>
    <n v="10"/>
    <x v="0"/>
    <n v="400"/>
    <x v="3"/>
    <x v="0"/>
    <x v="0"/>
    <n v="4000"/>
  </r>
  <r>
    <s v="DQ-0059"/>
    <x v="10"/>
    <s v="LITRO"/>
    <s v="CUBETA "/>
    <n v="19"/>
    <n v="10"/>
    <x v="0"/>
    <n v="380"/>
    <x v="3"/>
    <x v="0"/>
    <x v="0"/>
    <n v="3800"/>
  </r>
  <r>
    <s v="DQ-0069"/>
    <x v="11"/>
    <s v="LITRO"/>
    <s v="TAMBO"/>
    <n v="200"/>
    <n v="10"/>
    <x v="0"/>
    <n v="800"/>
    <x v="1"/>
    <x v="0"/>
    <x v="0"/>
    <n v="8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s v="DQ-0107"/>
    <x v="0"/>
    <n v="10"/>
    <s v="USD"/>
    <x v="0"/>
    <x v="0"/>
    <n v="200"/>
    <n v="1"/>
    <x v="0"/>
    <n v="2024"/>
    <n v="2000"/>
  </r>
  <r>
    <s v="DQ-0078"/>
    <x v="1"/>
    <n v="10"/>
    <s v="USD"/>
    <x v="1"/>
    <x v="0"/>
    <n v="5"/>
    <n v="1"/>
    <x v="0"/>
    <n v="2024"/>
    <n v="50"/>
  </r>
  <r>
    <s v="DQ-0012"/>
    <x v="2"/>
    <n v="10"/>
    <s v="USD"/>
    <x v="2"/>
    <x v="1"/>
    <n v="10"/>
    <n v="1"/>
    <x v="0"/>
    <n v="2024"/>
    <n v="100"/>
  </r>
  <r>
    <s v="DQ-0012"/>
    <x v="2"/>
    <n v="10"/>
    <s v="USD"/>
    <x v="3"/>
    <x v="1"/>
    <n v="5"/>
    <n v="1"/>
    <x v="0"/>
    <n v="2024"/>
    <n v="50"/>
  </r>
  <r>
    <s v="DQ-0012"/>
    <x v="2"/>
    <n v="10"/>
    <s v="USD"/>
    <x v="4"/>
    <x v="1"/>
    <n v="8"/>
    <n v="1"/>
    <x v="0"/>
    <n v="2024"/>
    <n v="80"/>
  </r>
  <r>
    <s v="DQ-0012"/>
    <x v="2"/>
    <n v="10"/>
    <s v="USD"/>
    <x v="5"/>
    <x v="1"/>
    <n v="10"/>
    <n v="1"/>
    <x v="0"/>
    <n v="2024"/>
    <n v="100"/>
  </r>
  <r>
    <s v="DQ-0012"/>
    <x v="2"/>
    <n v="10"/>
    <s v="USD"/>
    <x v="6"/>
    <x v="1"/>
    <n v="10"/>
    <n v="1"/>
    <x v="0"/>
    <n v="2024"/>
    <n v="100"/>
  </r>
  <r>
    <s v="DQ-0012"/>
    <x v="2"/>
    <n v="10"/>
    <s v="USD"/>
    <x v="7"/>
    <x v="1"/>
    <n v="10"/>
    <n v="1"/>
    <x v="0"/>
    <n v="2024"/>
    <n v="100"/>
  </r>
  <r>
    <s v="DQ-0012"/>
    <x v="2"/>
    <n v="10"/>
    <s v="USD"/>
    <x v="8"/>
    <x v="1"/>
    <n v="8"/>
    <n v="1"/>
    <x v="0"/>
    <n v="2024"/>
    <n v="80"/>
  </r>
  <r>
    <s v="DQ-0012"/>
    <x v="2"/>
    <n v="10"/>
    <s v="USD"/>
    <x v="9"/>
    <x v="1"/>
    <n v="5"/>
    <n v="1"/>
    <x v="0"/>
    <n v="2024"/>
    <n v="50"/>
  </r>
  <r>
    <s v="DQ-0012"/>
    <x v="2"/>
    <n v="10"/>
    <s v="USD"/>
    <x v="10"/>
    <x v="1"/>
    <n v="5"/>
    <n v="1"/>
    <x v="0"/>
    <n v="2024"/>
    <n v="50"/>
  </r>
  <r>
    <s v="DQ-0012"/>
    <x v="2"/>
    <n v="10"/>
    <s v="USD"/>
    <x v="11"/>
    <x v="1"/>
    <n v="8"/>
    <n v="1"/>
    <x v="0"/>
    <n v="2024"/>
    <n v="80"/>
  </r>
  <r>
    <s v="DQ-0012"/>
    <x v="2"/>
    <n v="10"/>
    <s v="USD"/>
    <x v="12"/>
    <x v="1"/>
    <n v="8"/>
    <n v="1"/>
    <x v="0"/>
    <n v="2024"/>
    <n v="80"/>
  </r>
  <r>
    <s v="DQ-0047"/>
    <x v="3"/>
    <n v="10"/>
    <s v="MXN"/>
    <x v="13"/>
    <x v="2"/>
    <n v="40"/>
    <n v="2"/>
    <x v="1"/>
    <n v="2024"/>
    <n v="400"/>
  </r>
  <r>
    <s v="DQ-0047"/>
    <x v="3"/>
    <n v="10"/>
    <s v="MXN"/>
    <x v="13"/>
    <x v="3"/>
    <n v="40"/>
    <n v="2"/>
    <x v="1"/>
    <n v="2024"/>
    <n v="400"/>
  </r>
  <r>
    <s v="DQ-0047"/>
    <x v="3"/>
    <n v="10"/>
    <s v="MXN"/>
    <x v="14"/>
    <x v="0"/>
    <n v="40"/>
    <n v="2"/>
    <x v="1"/>
    <n v="2024"/>
    <n v="400"/>
  </r>
  <r>
    <s v="DQ-0019"/>
    <x v="4"/>
    <n v="10"/>
    <s v="MXN"/>
    <x v="15"/>
    <x v="0"/>
    <n v="20"/>
    <n v="2"/>
    <x v="1"/>
    <n v="2024"/>
    <n v="200"/>
  </r>
  <r>
    <s v="DQ-0019"/>
    <x v="4"/>
    <n v="10"/>
    <s v="MXN"/>
    <x v="16"/>
    <x v="0"/>
    <n v="5"/>
    <n v="2"/>
    <x v="1"/>
    <n v="2024"/>
    <n v="50"/>
  </r>
  <r>
    <s v="DQ-0019"/>
    <x v="4"/>
    <n v="10"/>
    <s v="MXN"/>
    <x v="17"/>
    <x v="0"/>
    <n v="40"/>
    <n v="2"/>
    <x v="1"/>
    <n v="2024"/>
    <n v="400"/>
  </r>
  <r>
    <s v="DQ-0019"/>
    <x v="4"/>
    <n v="10"/>
    <s v="MXN"/>
    <x v="18"/>
    <x v="0"/>
    <n v="40"/>
    <n v="2"/>
    <x v="1"/>
    <n v="2024"/>
    <n v="400"/>
  </r>
  <r>
    <s v="DQ-0019"/>
    <x v="4"/>
    <n v="10"/>
    <s v="MXN"/>
    <x v="19"/>
    <x v="0"/>
    <n v="40"/>
    <n v="2"/>
    <x v="1"/>
    <n v="2024"/>
    <n v="400"/>
  </r>
  <r>
    <s v="DQ-0019"/>
    <x v="4"/>
    <n v="10"/>
    <s v="MXN"/>
    <x v="14"/>
    <x v="0"/>
    <n v="40"/>
    <n v="2"/>
    <x v="1"/>
    <n v="2024"/>
    <n v="400"/>
  </r>
  <r>
    <s v="DQ-0019"/>
    <x v="4"/>
    <n v="10"/>
    <s v="MXN"/>
    <x v="20"/>
    <x v="0"/>
    <n v="20"/>
    <n v="2"/>
    <x v="1"/>
    <n v="2024"/>
    <n v="200"/>
  </r>
  <r>
    <s v="DQ-0019"/>
    <x v="4"/>
    <n v="10"/>
    <s v="MXN"/>
    <x v="21"/>
    <x v="0"/>
    <n v="20"/>
    <n v="2"/>
    <x v="1"/>
    <n v="2024"/>
    <n v="200"/>
  </r>
  <r>
    <s v="DQ-0019"/>
    <x v="4"/>
    <n v="10"/>
    <s v="MXN"/>
    <x v="22"/>
    <x v="0"/>
    <n v="20"/>
    <n v="2"/>
    <x v="1"/>
    <n v="2024"/>
    <n v="200"/>
  </r>
  <r>
    <s v="DQ-0019"/>
    <x v="4"/>
    <n v="10"/>
    <s v="MXN"/>
    <x v="23"/>
    <x v="0"/>
    <n v="20"/>
    <n v="2"/>
    <x v="1"/>
    <n v="2024"/>
    <n v="200"/>
  </r>
  <r>
    <s v="DQ-0019"/>
    <x v="4"/>
    <n v="10"/>
    <s v="MXN"/>
    <x v="24"/>
    <x v="0"/>
    <n v="20"/>
    <n v="2"/>
    <x v="1"/>
    <n v="2024"/>
    <n v="200"/>
  </r>
  <r>
    <s v="DQ-0019"/>
    <x v="4"/>
    <n v="10"/>
    <s v="MXN"/>
    <x v="25"/>
    <x v="0"/>
    <n v="15"/>
    <n v="2"/>
    <x v="1"/>
    <n v="2024"/>
    <n v="150"/>
  </r>
  <r>
    <s v="DQ-0019"/>
    <x v="4"/>
    <n v="10"/>
    <s v="MXN"/>
    <x v="26"/>
    <x v="0"/>
    <n v="15"/>
    <n v="2"/>
    <x v="1"/>
    <n v="2024"/>
    <n v="150"/>
  </r>
  <r>
    <s v="DQ-0012"/>
    <x v="2"/>
    <n v="10"/>
    <s v="USD"/>
    <x v="27"/>
    <x v="4"/>
    <n v="1"/>
    <n v="2"/>
    <x v="1"/>
    <n v="2024"/>
    <n v="10"/>
  </r>
  <r>
    <s v="DQ-0012"/>
    <x v="2"/>
    <n v="10"/>
    <s v="USD"/>
    <x v="28"/>
    <x v="4"/>
    <n v="40"/>
    <n v="2"/>
    <x v="1"/>
    <n v="2024"/>
    <n v="400"/>
  </r>
  <r>
    <s v="DQ-0012"/>
    <x v="2"/>
    <n v="10"/>
    <s v="USD"/>
    <x v="29"/>
    <x v="4"/>
    <n v="15"/>
    <n v="2"/>
    <x v="1"/>
    <n v="2024"/>
    <n v="1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7A9673-1904-4B93-A7EA-FA20FB7F12FA}" name="TablaAnalisis" cacheId="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C15" firstHeaderRow="0" firstDataRow="1" firstDataCol="1"/>
  <pivotFields count="12">
    <pivotField showAll="0"/>
    <pivotField axis="axisRow" showAll="0">
      <items count="13">
        <item x="1"/>
        <item x="11"/>
        <item x="5"/>
        <item x="4"/>
        <item x="6"/>
        <item x="3"/>
        <item x="7"/>
        <item x="10"/>
        <item x="9"/>
        <item x="8"/>
        <item x="2"/>
        <item x="0"/>
        <item t="default"/>
      </items>
    </pivotField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dataField="1" showAll="0"/>
    <pivotField showAll="0">
      <items count="5">
        <item x="0"/>
        <item x="1"/>
        <item x="3"/>
        <item x="2"/>
        <item t="default"/>
      </items>
    </pivotField>
    <pivotField showAll="0">
      <items count="2">
        <item x="0"/>
        <item t="default"/>
      </items>
    </pivotField>
    <pivotField showAll="0">
      <items count="4">
        <item h="1" m="1" x="2"/>
        <item h="1" x="1"/>
        <item x="0"/>
        <item t="default"/>
      </items>
    </pivotField>
    <pivotField dataField="1" numFmtId="164"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nt_ingreso_planta" fld="7" baseField="0" baseItem="0"/>
    <dataField name="Suma de gasto_litro" fld="11" baseField="0" baseItem="0"/>
  </dataFields>
  <chartFormats count="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0B735-5D8A-4451-BB26-A0B2B416664D}" name="TablaDinámica4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M4:N10" firstHeaderRow="1" firstDataRow="1" firstDataCol="1"/>
  <pivotFields count="11">
    <pivotField showAll="0"/>
    <pivotField showAll="0"/>
    <pivotField showAll="0"/>
    <pivotField showAll="0"/>
    <pivotField showAll="0"/>
    <pivotField axis="axisRow" showAll="0">
      <items count="6">
        <item x="3"/>
        <item x="0"/>
        <item x="4"/>
        <item x="2"/>
        <item x="1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LITROS_MAQ" fld="6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CDF9B-9581-4005-9281-5A8E11771684}" name="TablaDinamica2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6:B8" firstHeaderRow="1" firstDataRow="1" firstDataCol="1"/>
  <pivotFields count="11">
    <pivotField showAll="0"/>
    <pivotField axis="axisRow" showAll="0">
      <items count="6">
        <item x="4"/>
        <item x="2"/>
        <item x="3"/>
        <item x="0"/>
        <item x="1"/>
        <item t="default"/>
      </items>
    </pivotField>
    <pivotField showAll="0"/>
    <pivotField showAll="0"/>
    <pivotField showAll="0">
      <items count="31">
        <item x="0"/>
        <item x="1"/>
        <item x="23"/>
        <item x="24"/>
        <item x="22"/>
        <item x="20"/>
        <item x="21"/>
        <item x="17"/>
        <item x="19"/>
        <item x="18"/>
        <item x="13"/>
        <item x="4"/>
        <item x="25"/>
        <item x="3"/>
        <item x="8"/>
        <item x="16"/>
        <item x="29"/>
        <item x="27"/>
        <item x="2"/>
        <item x="5"/>
        <item x="7"/>
        <item x="6"/>
        <item x="9"/>
        <item x="10"/>
        <item x="14"/>
        <item x="26"/>
        <item x="11"/>
        <item x="12"/>
        <item x="28"/>
        <item x="15"/>
        <item t="default"/>
      </items>
    </pivotField>
    <pivotField showAll="0">
      <items count="6">
        <item x="3"/>
        <item h="1" x="0"/>
        <item h="1" x="4"/>
        <item h="1" x="2"/>
        <item h="1" x="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showAll="0"/>
    <pivotField showAll="0"/>
  </pivotFields>
  <rowFields count="1">
    <field x="1"/>
  </rowFields>
  <rowItems count="2">
    <i>
      <x v="2"/>
    </i>
    <i t="grand">
      <x/>
    </i>
  </rowItems>
  <colItems count="1">
    <i/>
  </colItems>
  <dataFields count="1">
    <dataField name="Suma de LITROS_MAQ" fld="6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rea_ingreso" xr10:uid="{F3250604-BAA5-4F46-91EC-D030C76AC829}" sourceName="area_ingreso">
  <pivotTables>
    <pivotTable tabId="21" name="TablaAnalisis"/>
  </pivotTables>
  <data>
    <tabular pivotCacheId="438371755">
      <items count="3">
        <i x="1"/>
        <i x="0" s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ingreso" xr10:uid="{9938AF1C-BF62-4864-9E73-8ABB0DEBA326}" sourceName="mes_ingreso">
  <pivotTables>
    <pivotTable tabId="21" name="TablaAnalisis"/>
  </pivotTables>
  <data>
    <tabular pivotCacheId="438371755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a_ingreso" xr10:uid="{3651C25D-EC7B-4E37-AD5E-DB8BB0FD634E}" sourceName="dia_ingreso">
  <pivotTables>
    <pivotTable tabId="21" name="TablaAnalisis"/>
  </pivotTables>
  <data>
    <tabular pivotCacheId="438371755">
      <items count="4">
        <i x="0" s="1"/>
        <i x="1" s="1"/>
        <i x="3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neda" xr10:uid="{56BDDA08-741A-4A93-9CC6-45996E05288F}" sourceName="moneda">
  <pivotTables>
    <pivotTable tabId="21" name="TablaAnalisis"/>
  </pivotTables>
  <data>
    <tabular pivotCacheId="438371755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REA_MAQ" xr10:uid="{92EB1373-ED45-4E7E-B055-7413F25DA310}" sourceName="AREA_MAQ">
  <pivotTables>
    <pivotTable tabId="18" name="TablaDinamica2"/>
  </pivotTables>
  <data>
    <tabular pivotCacheId="1970704370">
      <items count="5">
        <i x="3" s="1"/>
        <i x="0"/>
        <i x="4"/>
        <i x="2"/>
        <i x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CARGA_MAQ" xr10:uid="{4D472863-7115-4492-8B87-9FD6409AAD90}" sourceName="MES_CARGA_MAQ">
  <pivotTables>
    <pivotTable tabId="18" name="TablaDinamica2"/>
  </pivotTables>
  <data>
    <tabular pivotCacheId="1970704370">
      <items count="2">
        <i x="1" s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D_MAQUINA" xr10:uid="{9C45FC2A-3589-4E6C-9894-4B461ECF8CAB}" sourceName="ID_MAQUINA">
  <pivotTables>
    <pivotTable tabId="18" name="TablaDinamica2"/>
  </pivotTables>
  <data>
    <tabular pivotCacheId="1970704370">
      <items count="30">
        <i x="13" s="1"/>
        <i x="0" s="1" nd="1"/>
        <i x="1" s="1" nd="1"/>
        <i x="23" s="1" nd="1"/>
        <i x="24" s="1" nd="1"/>
        <i x="22" s="1" nd="1"/>
        <i x="20" s="1" nd="1"/>
        <i x="21" s="1" nd="1"/>
        <i x="17" s="1" nd="1"/>
        <i x="19" s="1" nd="1"/>
        <i x="18" s="1" nd="1"/>
        <i x="4" s="1" nd="1"/>
        <i x="25" s="1" nd="1"/>
        <i x="3" s="1" nd="1"/>
        <i x="8" s="1" nd="1"/>
        <i x="16" s="1" nd="1"/>
        <i x="29" s="1" nd="1"/>
        <i x="27" s="1" nd="1"/>
        <i x="2" s="1" nd="1"/>
        <i x="5" s="1" nd="1"/>
        <i x="7" s="1" nd="1"/>
        <i x="6" s="1" nd="1"/>
        <i x="9" s="1" nd="1"/>
        <i x="10" s="1" nd="1"/>
        <i x="14" s="1" nd="1"/>
        <i x="26" s="1" nd="1"/>
        <i x="11" s="1" nd="1"/>
        <i x="12" s="1" nd="1"/>
        <i x="28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rea_ingreso" xr10:uid="{C9511ABC-8454-4F10-9C40-B60270262CE1}" cache="SegmentaciónDeDatos_area_ingreso" caption="ÁREA" style="Estilo de segmentación de datos 1" rowHeight="234950"/>
  <slicer name="mes_ingreso" xr10:uid="{F50C88F1-6C5A-4DF1-9825-B8BE1D5DE8FB}" cache="SegmentaciónDeDatos_mes_ingreso" caption="MES" style="Estilo de segmentación de datos 1" rowHeight="234950"/>
  <slicer name="dia_ingreso" xr10:uid="{7ED4C51D-39A5-40FE-A915-505347F6FA14}" cache="SegmentaciónDeDatos_dia_ingreso" caption="DIA" style="Estilo de segmentación de datos 1" rowHeight="234950"/>
  <slicer name="moneda" xr10:uid="{E4E63AB5-02BF-4FCD-A2E9-6403A454D9B8}" cache="SegmentaciónDeDatos_moneda" caption="moneda" style="Estilo de segmentación de datos 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rea_ingreso 1" xr10:uid="{38257B98-D7C8-407F-B7FB-576FA74326C3}" cache="SegmentaciónDeDatos_area_ingreso" caption="ÁREA" style="Estilo de segmentación de datos 1" rowHeight="234950"/>
  <slicer name="mes_ingreso 1" xr10:uid="{5383F4DB-566D-497E-8433-8656A5022D50}" cache="SegmentaciónDeDatos_mes_ingreso" caption="MES" style="Estilo de segmentación de datos 1" rowHeight="234950"/>
  <slicer name="dia_ingreso 1" xr10:uid="{F9F33760-B6AB-4D20-B62E-BE809A01F221}" cache="SegmentaciónDeDatos_dia_ingreso" caption="DIA" style="Estilo de segmentación de datos 1" rowHeight="234950"/>
  <slicer name="moneda 1" xr10:uid="{0BC6ECBA-EA25-406C-9777-70EE4A6DBE2D}" cache="SegmentaciónDeDatos_moneda" caption="moneda" style="Estilo de segmentación de datos 1" rowHeight="234950"/>
  <slicer name="AREA_MAQ 1" xr10:uid="{C306A265-D541-479D-9DDA-4887B328911C}" cache="SegmentaciónDeDatos_AREA_MAQ" caption="AREA_MAQ" style="Estilo de segmentación de datos 1" rowHeight="234950"/>
  <slicer name="MES_CARGA_MAQ 1" xr10:uid="{9EB0CCBD-2886-49EF-A97F-B8375B22D43E}" cache="SegmentaciónDeDatos_MES_CARGA_MAQ" caption="MES" style="Estilo de segmentación de datos 1" rowHeight="234950"/>
  <slicer name="ID_MAQUINA 1" xr10:uid="{E98A6D97-03FE-4C7C-9167-9EF7F199E661}" cache="SegmentaciónDeDatos_ID_MAQUINA" caption="ID_MAQUINA" style="Estilo de segmentación de datos 1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REA_MAQ" xr10:uid="{7E00E9C6-F2DD-419F-B341-80AA217CDCE7}" cache="SegmentaciónDeDatos_AREA_MAQ" caption="AREA_MAQ" style="Estilo de segmentación de datos 1" rowHeight="234950"/>
  <slicer name="MES_CARGA_MAQ" xr10:uid="{C59514E6-02B3-42A3-A4DE-03F9853009EF}" cache="SegmentaciónDeDatos_MES_CARGA_MAQ" caption="MES" style="Estilo de segmentación de datos 1" rowHeight="234950"/>
  <slicer name="ID_MAQUINA" xr10:uid="{D17AA0D2-9A18-4BAF-ABCD-8322DD9B2266}" cache="SegmentaciónDeDatos_ID_MAQUINA" caption="ID_MAQUINA" style="Estilo de segmentación de datos 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3B7FA8-F644-48C2-926A-3E89AF7F4F9F}" name="Tabla1" displayName="Tabla1" ref="A2:L14" totalsRowShown="0" headerRowDxfId="16">
  <autoFilter ref="A2:L14" xr:uid="{23FD1B54-9B6E-4B2C-8CE0-8510738305AD}"/>
  <tableColumns count="12">
    <tableColumn id="1" xr3:uid="{144BF0F5-BD63-4554-9286-180E0C70F5F9}" name="codigo">
      <calculatedColumnFormula>VLOOKUP(Tabla1[descrip_producto],TablaProductos[#All],2,FALSE)</calculatedColumnFormula>
    </tableColumn>
    <tableColumn id="2" xr3:uid="{DF5C7D54-2D23-4400-9312-07E86F85D4B7}" name="descrip_producto"/>
    <tableColumn id="3" xr3:uid="{8E9F8F65-E5F8-481D-8E05-D252E5B04793}" name="unidad_medida">
      <calculatedColumnFormula>VLOOKUP(Tabla1[descrip_producto],TablaProductos[#All],3,FALSE)</calculatedColumnFormula>
    </tableColumn>
    <tableColumn id="4" xr3:uid="{61C388F2-2789-4D3F-827D-45DCAF10D29A}" name="presentacion">
      <calculatedColumnFormula>VLOOKUP(Tabla1[descrip_producto],TablaProductos[#All],4,FALSE)</calculatedColumnFormula>
    </tableColumn>
    <tableColumn id="5" xr3:uid="{5CF3CAA7-315D-46A8-AC8D-D961DFFEEFB7}" name="packing">
      <calculatedColumnFormula>VLOOKUP(Tabla1[descrip_producto],TablaProductos[#All],5,FALSE)</calculatedColumnFormula>
    </tableColumn>
    <tableColumn id="6" xr3:uid="{A2F614EC-60AF-4FF2-908B-D530D3FBC892}" name="precio_unitario" dataDxfId="15"/>
    <tableColumn id="7" xr3:uid="{361801EB-55A3-4AD8-945B-3E89C77E4EDD}" name="moneda">
      <calculatedColumnFormula>VLOOKUP(Tabla1[descrip_producto],TablaProductos[#All],6,FALSE)</calculatedColumnFormula>
    </tableColumn>
    <tableColumn id="8" xr3:uid="{645BB159-0778-4632-8E13-5114DA427545}" name="cant_ingreso_planta" dataDxfId="14"/>
    <tableColumn id="9" xr3:uid="{BF76376D-E44F-45EF-B829-7FC1054A85F6}" name="dia_ingreso"/>
    <tableColumn id="10" xr3:uid="{13A0E023-286C-43FB-9C3B-40AF18C216C1}" name="mes_ingreso"/>
    <tableColumn id="11" xr3:uid="{278733D7-F64D-4987-991E-61A86F523F0B}" name="area_ingreso"/>
    <tableColumn id="12" xr3:uid="{6F8DCE4B-06F4-43E4-8D1B-283169F837DB}" name="gasto_litro" dataDxfId="13">
      <calculatedColumnFormula>Tabla1[precio_unitario]*Tabla1[cant_ingreso_planta]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B94B308-2407-4D16-AAD4-613C5821B079}" name="TablaProductos" displayName="TablaProductos" ref="A1:F31" totalsRowShown="0" headerRowDxfId="12" dataDxfId="11">
  <autoFilter ref="A1:F31" xr:uid="{E938C04B-7862-4D05-9F16-5BEFD9D985DB}"/>
  <sortState ref="A2:F31">
    <sortCondition ref="A1:A31"/>
  </sortState>
  <tableColumns count="6">
    <tableColumn id="2" xr3:uid="{FA102AF4-0D17-4A26-8967-C759D1A7E51E}" name="DESCRIPCION_PRODUCTO" dataDxfId="10"/>
    <tableColumn id="7" xr3:uid="{FAF5573E-6B2E-4B62-BA40-8D3230AF3976}" name="CODIGO" dataDxfId="9"/>
    <tableColumn id="3" xr3:uid="{48CC09F2-4909-4FC3-AA52-E5E5BE8D2F86}" name="UD_MEDIDA" dataDxfId="8"/>
    <tableColumn id="4" xr3:uid="{500839EA-6939-422D-AB12-7B7AC3804CE6}" name="PRESENTACION" dataDxfId="7"/>
    <tableColumn id="5" xr3:uid="{101B7623-1CFB-4AEF-834A-EC5B28DAE318}" name="PACKING" dataDxfId="6"/>
    <tableColumn id="6" xr3:uid="{245AA51B-5D6E-4ACA-A252-3C55B7F0F850}" name="MONEDA" dataDxfId="5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C9F311-DAF7-45F4-AF50-F39F62906950}" name="Tabla3" displayName="Tabla3" ref="A1:K33" totalsRowShown="0" headerRowDxfId="4">
  <autoFilter ref="A1:K33" xr:uid="{6AD9AD74-5BBF-4CF8-8A8C-5D69078D13D4}"/>
  <tableColumns count="11">
    <tableColumn id="1" xr3:uid="{1B4D28FD-39B8-4C5C-9014-629709A159D6}" name="CODIGO" dataDxfId="3">
      <calculatedColumnFormula>VLOOKUP(Tabla3[[#This Row],[Descripcion_producto]],TablaProductos[#All],2,FALSE)</calculatedColumnFormula>
    </tableColumn>
    <tableColumn id="9" xr3:uid="{0D3CF282-C572-4C69-AD37-68EE204AB1F6}" name="Descripcion_producto"/>
    <tableColumn id="10" xr3:uid="{9DAC445B-4D06-4A64-B5CE-17B544087C28}" name="Precio_unitario" dataDxfId="2">
      <calculatedColumnFormula>VLOOKUP(Tabla3[[#This Row],[Descripcion_producto]],Tabla1[[#All],[descrip_producto]:[moneda]],5,FALSE)</calculatedColumnFormula>
    </tableColumn>
    <tableColumn id="11" xr3:uid="{1B776FC3-91E1-4142-950E-7764B65B3FA2}" name="moneda" dataDxfId="1">
      <calculatedColumnFormula>VLOOKUP(Tabla3[[#This Row],[Descripcion_producto]],Tabla1[[#All],[descrip_producto]:[moneda]],6,FALSE)</calculatedColumnFormula>
    </tableColumn>
    <tableColumn id="2" xr3:uid="{9EFB12B5-9A7C-4100-8F06-DFE330ECB747}" name="ID_MAQUINA"/>
    <tableColumn id="3" xr3:uid="{57C011AF-6157-4642-A013-CF9EA46771EE}" name="AREA_MAQ"/>
    <tableColumn id="4" xr3:uid="{CDCF3E4B-71DF-4094-BB8B-327D4CAEFF5E}" name="LITROS_MAQ"/>
    <tableColumn id="5" xr3:uid="{D7E36AFF-0ECD-4100-B213-ABF3D105D67E}" name="DIA_CARGA_MAQ"/>
    <tableColumn id="6" xr3:uid="{B22EC7D2-D4A1-4026-9F72-8E3FA85E3CDF}" name="MES_CARGA_MAQ"/>
    <tableColumn id="7" xr3:uid="{24B4A723-94DA-4C69-AB79-76645C4E93B4}" name="ANIO"/>
    <tableColumn id="8" xr3:uid="{A4BEEF2D-CC12-4973-B09F-CD2CDF999712}" name="GASTO_MAQ" dataDxfId="0">
      <calculatedColumnFormula>Tabla3[LITROS_MAQ]*Tabla3[Precio_unitario]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7C3D3-F391-4C7F-9401-E9333190A7DD}">
  <sheetPr codeName="Hoja6"/>
  <dimension ref="A2:N32"/>
  <sheetViews>
    <sheetView zoomScale="80" zoomScaleNormal="80" workbookViewId="0">
      <selection activeCell="G1" sqref="G1"/>
    </sheetView>
  </sheetViews>
  <sheetFormatPr baseColWidth="10" defaultRowHeight="18" x14ac:dyDescent="0.35"/>
  <cols>
    <col min="1" max="1" width="7" style="22" customWidth="1"/>
    <col min="2" max="2" width="5.88671875" style="22" customWidth="1"/>
    <col min="3" max="3" width="37.109375" style="22" customWidth="1"/>
    <col min="4" max="4" width="3" style="22" customWidth="1"/>
    <col min="5" max="5" width="51.44140625" style="27" customWidth="1"/>
    <col min="6" max="6" width="8.44140625" style="22" customWidth="1"/>
    <col min="7" max="7" width="9.88671875" style="22" customWidth="1"/>
    <col min="8" max="8" width="11.5546875" style="22"/>
    <col min="9" max="9" width="36.33203125" style="22" customWidth="1"/>
    <col min="10" max="10" width="3.21875" style="22" customWidth="1"/>
    <col min="11" max="11" width="58.109375" style="27" customWidth="1"/>
    <col min="12" max="14" width="11.5546875" style="22"/>
  </cols>
  <sheetData>
    <row r="2" spans="3:11" ht="14.4" x14ac:dyDescent="0.3">
      <c r="C2" s="33" t="s">
        <v>12</v>
      </c>
      <c r="D2" s="33"/>
      <c r="E2" s="33"/>
      <c r="I2" s="33" t="s">
        <v>11</v>
      </c>
      <c r="J2" s="33"/>
      <c r="K2" s="33"/>
    </row>
    <row r="3" spans="3:11" ht="14.4" x14ac:dyDescent="0.3">
      <c r="C3" s="33"/>
      <c r="D3" s="33"/>
      <c r="E3" s="33"/>
      <c r="I3" s="33"/>
      <c r="J3" s="33"/>
      <c r="K3" s="33"/>
    </row>
    <row r="4" spans="3:11" ht="18.600000000000001" thickBot="1" x14ac:dyDescent="0.4"/>
    <row r="5" spans="3:11" ht="21" thickBot="1" x14ac:dyDescent="0.4">
      <c r="C5" s="29" t="s">
        <v>105</v>
      </c>
      <c r="E5" s="31"/>
      <c r="I5" s="29" t="s">
        <v>5</v>
      </c>
      <c r="K5" s="30"/>
    </row>
    <row r="6" spans="3:11" ht="18.600000000000001" thickBot="1" x14ac:dyDescent="0.4"/>
    <row r="7" spans="3:11" ht="21" thickBot="1" x14ac:dyDescent="0.4">
      <c r="C7" s="29" t="s">
        <v>104</v>
      </c>
      <c r="E7" s="31"/>
      <c r="I7" s="29" t="s">
        <v>6</v>
      </c>
      <c r="K7" s="30"/>
    </row>
    <row r="8" spans="3:11" ht="18.600000000000001" thickBot="1" x14ac:dyDescent="0.4"/>
    <row r="9" spans="3:11" ht="21" thickBot="1" x14ac:dyDescent="0.4">
      <c r="C9" s="29" t="s">
        <v>106</v>
      </c>
      <c r="E9" s="31"/>
      <c r="I9" s="29" t="s">
        <v>7</v>
      </c>
      <c r="K9" s="30"/>
    </row>
    <row r="10" spans="3:11" ht="18.600000000000001" thickBot="1" x14ac:dyDescent="0.4"/>
    <row r="11" spans="3:11" ht="21" thickBot="1" x14ac:dyDescent="0.4">
      <c r="C11" s="29" t="s">
        <v>107</v>
      </c>
      <c r="E11" s="31"/>
      <c r="I11" s="29" t="s">
        <v>8</v>
      </c>
      <c r="K11" s="30"/>
    </row>
    <row r="12" spans="3:11" ht="18.600000000000001" thickBot="1" x14ac:dyDescent="0.4"/>
    <row r="13" spans="3:11" ht="21" thickBot="1" x14ac:dyDescent="0.4">
      <c r="C13" s="29" t="s">
        <v>108</v>
      </c>
      <c r="E13" s="31"/>
      <c r="I13" s="29" t="s">
        <v>9</v>
      </c>
      <c r="K13" s="30"/>
    </row>
    <row r="14" spans="3:11" ht="18.600000000000001" thickBot="1" x14ac:dyDescent="0.4"/>
    <row r="15" spans="3:11" ht="21" thickBot="1" x14ac:dyDescent="0.4">
      <c r="C15" s="29" t="s">
        <v>109</v>
      </c>
      <c r="E15" s="31"/>
      <c r="I15" s="29" t="s">
        <v>10</v>
      </c>
      <c r="K15" s="30"/>
    </row>
    <row r="16" spans="3:11" ht="18.600000000000001" thickBot="1" x14ac:dyDescent="0.4"/>
    <row r="17" spans="1:14" ht="21" thickBot="1" x14ac:dyDescent="0.4">
      <c r="C17" s="26"/>
      <c r="E17" s="28"/>
      <c r="I17" s="29" t="s">
        <v>113</v>
      </c>
      <c r="K17" s="30"/>
    </row>
    <row r="25" spans="1:14" s="2" customFormat="1" x14ac:dyDescent="0.35">
      <c r="A25" s="22"/>
      <c r="B25" s="22"/>
      <c r="C25" s="22"/>
      <c r="D25" s="22"/>
      <c r="E25" s="27"/>
      <c r="F25" s="22"/>
      <c r="G25" s="22"/>
      <c r="H25" s="22"/>
      <c r="I25" s="22"/>
      <c r="J25" s="22"/>
      <c r="K25" s="27"/>
      <c r="L25" s="22"/>
      <c r="M25" s="22"/>
      <c r="N25" s="22"/>
    </row>
    <row r="26" spans="1:14" s="2" customFormat="1" x14ac:dyDescent="0.35">
      <c r="A26" s="22"/>
      <c r="B26" s="22"/>
      <c r="C26" s="22"/>
      <c r="D26" s="22"/>
      <c r="E26" s="27"/>
      <c r="F26" s="22"/>
      <c r="G26" s="22"/>
      <c r="H26" s="22"/>
      <c r="I26" s="22"/>
      <c r="J26" s="22"/>
      <c r="K26" s="27"/>
      <c r="L26" s="22"/>
      <c r="M26" s="22"/>
      <c r="N26" s="22"/>
    </row>
    <row r="27" spans="1:14" s="2" customFormat="1" x14ac:dyDescent="0.35">
      <c r="A27" s="22"/>
      <c r="B27" s="22"/>
      <c r="C27" s="22"/>
      <c r="D27" s="22"/>
      <c r="E27" s="27"/>
      <c r="F27" s="22"/>
      <c r="G27" s="22"/>
      <c r="H27" s="22"/>
      <c r="I27" s="22"/>
      <c r="J27" s="22"/>
      <c r="K27" s="27"/>
      <c r="L27" s="22"/>
      <c r="M27" s="22"/>
      <c r="N27" s="22"/>
    </row>
    <row r="28" spans="1:14" s="2" customFormat="1" x14ac:dyDescent="0.35">
      <c r="A28" s="22"/>
      <c r="B28" s="22"/>
      <c r="C28" s="22"/>
      <c r="D28" s="22"/>
      <c r="E28" s="27"/>
      <c r="F28" s="22"/>
      <c r="G28" s="22"/>
      <c r="H28" s="22"/>
      <c r="I28" s="22"/>
      <c r="J28" s="22"/>
      <c r="K28" s="27"/>
      <c r="L28" s="22"/>
      <c r="M28" s="22"/>
      <c r="N28" s="22"/>
    </row>
    <row r="29" spans="1:14" s="2" customFormat="1" x14ac:dyDescent="0.35">
      <c r="A29" s="22"/>
      <c r="B29" s="22"/>
      <c r="C29" s="22"/>
      <c r="D29" s="22"/>
      <c r="E29" s="27"/>
      <c r="F29" s="22"/>
      <c r="G29" s="22"/>
      <c r="H29" s="22"/>
      <c r="I29" s="22"/>
      <c r="J29" s="22"/>
      <c r="K29" s="27"/>
      <c r="L29" s="22"/>
      <c r="M29" s="22"/>
      <c r="N29" s="22"/>
    </row>
    <row r="30" spans="1:14" s="2" customFormat="1" x14ac:dyDescent="0.35">
      <c r="A30" s="22"/>
      <c r="B30" s="22"/>
      <c r="C30" s="22"/>
      <c r="D30" s="22"/>
      <c r="E30" s="27"/>
      <c r="F30" s="22"/>
      <c r="G30" s="22"/>
      <c r="H30" s="22"/>
      <c r="I30" s="22"/>
      <c r="J30" s="22"/>
      <c r="K30" s="27"/>
      <c r="L30" s="22"/>
      <c r="M30" s="22"/>
      <c r="N30" s="22"/>
    </row>
    <row r="31" spans="1:14" s="2" customFormat="1" x14ac:dyDescent="0.35">
      <c r="A31" s="22"/>
      <c r="B31" s="22"/>
      <c r="C31" s="22"/>
      <c r="D31" s="22"/>
      <c r="E31" s="27"/>
      <c r="F31" s="22"/>
      <c r="G31" s="22"/>
      <c r="H31" s="22"/>
      <c r="I31" s="22"/>
      <c r="J31" s="22"/>
      <c r="K31" s="27"/>
      <c r="L31" s="22"/>
      <c r="M31" s="22"/>
      <c r="N31" s="22"/>
    </row>
    <row r="32" spans="1:14" s="2" customFormat="1" x14ac:dyDescent="0.35">
      <c r="A32" s="22"/>
      <c r="B32" s="22"/>
      <c r="C32" s="22"/>
      <c r="D32" s="22"/>
      <c r="E32" s="27"/>
      <c r="F32" s="22"/>
      <c r="G32" s="22"/>
      <c r="H32" s="22"/>
      <c r="I32" s="22"/>
      <c r="J32" s="22"/>
      <c r="K32" s="27"/>
      <c r="L32" s="22"/>
      <c r="M32" s="22"/>
      <c r="N32" s="22"/>
    </row>
  </sheetData>
  <mergeCells count="2">
    <mergeCell ref="C2:E3"/>
    <mergeCell ref="I2:K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4ADAD1-732F-4BAB-A70E-CDAD42D8AF3A}">
          <x14:formula1>
            <xm:f>PRODUCTOS!$A$2:$A$31</xm:f>
          </x14:formula1>
          <xm:sqref>E5 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63AFE-2CA5-4451-9CC9-BAA0F6C89C90}">
  <sheetPr codeName="Hoja7"/>
  <dimension ref="A1:O19"/>
  <sheetViews>
    <sheetView workbookViewId="0">
      <selection activeCell="C22" sqref="C22"/>
    </sheetView>
  </sheetViews>
  <sheetFormatPr baseColWidth="10" defaultRowHeight="14.4" x14ac:dyDescent="0.3"/>
  <cols>
    <col min="1" max="1" width="31.6640625" bestFit="1" customWidth="1"/>
    <col min="2" max="2" width="26.109375" bestFit="1" customWidth="1"/>
    <col min="3" max="3" width="17.77734375" bestFit="1" customWidth="1"/>
    <col min="4" max="4" width="15.44140625" bestFit="1" customWidth="1"/>
    <col min="5" max="5" width="18.5546875" customWidth="1"/>
    <col min="6" max="6" width="3.44140625" style="22" customWidth="1"/>
    <col min="7" max="7" width="12.88671875" bestFit="1" customWidth="1"/>
    <col min="8" max="8" width="9.6640625" bestFit="1" customWidth="1"/>
    <col min="9" max="9" width="12.44140625" bestFit="1" customWidth="1"/>
    <col min="10" max="10" width="7.21875" bestFit="1" customWidth="1"/>
    <col min="11" max="11" width="14.88671875" bestFit="1" customWidth="1"/>
    <col min="12" max="12" width="11.88671875" bestFit="1" customWidth="1"/>
    <col min="15" max="15" width="14.33203125" customWidth="1"/>
  </cols>
  <sheetData>
    <row r="1" spans="1:15" x14ac:dyDescent="0.3">
      <c r="A1" s="23" t="s">
        <v>142</v>
      </c>
      <c r="B1">
        <f>LARGE(B3:B6,1)</f>
        <v>5000</v>
      </c>
    </row>
    <row r="2" spans="1:15" x14ac:dyDescent="0.3">
      <c r="A2" s="23" t="s">
        <v>143</v>
      </c>
      <c r="B2">
        <f>GETPIVOTDATA("Suma de cant_ingreso_planta",$A$3)</f>
        <v>17778</v>
      </c>
    </row>
    <row r="3" spans="1:15" x14ac:dyDescent="0.3">
      <c r="A3" s="16" t="s">
        <v>116</v>
      </c>
      <c r="B3" t="s">
        <v>118</v>
      </c>
      <c r="C3" t="s">
        <v>119</v>
      </c>
      <c r="O3" s="23" t="s">
        <v>147</v>
      </c>
    </row>
    <row r="4" spans="1:15" x14ac:dyDescent="0.3">
      <c r="A4" s="17" t="s">
        <v>35</v>
      </c>
      <c r="B4" s="18">
        <v>2000</v>
      </c>
      <c r="C4" s="18">
        <v>20000</v>
      </c>
      <c r="O4" s="25">
        <f>B2-ANÁLISIS_MAQUINAS!B2</f>
        <v>17698</v>
      </c>
    </row>
    <row r="5" spans="1:15" x14ac:dyDescent="0.3">
      <c r="A5" s="17" t="s">
        <v>68</v>
      </c>
      <c r="B5" s="18">
        <v>800</v>
      </c>
      <c r="C5" s="18">
        <v>8000</v>
      </c>
    </row>
    <row r="6" spans="1:15" x14ac:dyDescent="0.3">
      <c r="A6" s="17" t="s">
        <v>91</v>
      </c>
      <c r="B6" s="18">
        <v>5000</v>
      </c>
      <c r="C6" s="18">
        <v>50000</v>
      </c>
    </row>
    <row r="7" spans="1:15" x14ac:dyDescent="0.3">
      <c r="A7" s="17" t="s">
        <v>93</v>
      </c>
      <c r="B7" s="18">
        <v>600</v>
      </c>
      <c r="C7" s="18">
        <v>6000</v>
      </c>
    </row>
    <row r="8" spans="1:15" x14ac:dyDescent="0.3">
      <c r="A8" s="17" t="s">
        <v>89</v>
      </c>
      <c r="B8" s="18">
        <v>190</v>
      </c>
      <c r="C8" s="18">
        <v>1900</v>
      </c>
    </row>
    <row r="9" spans="1:15" x14ac:dyDescent="0.3">
      <c r="A9" s="17" t="s">
        <v>66</v>
      </c>
      <c r="B9" s="18">
        <v>3000</v>
      </c>
      <c r="C9" s="18">
        <v>30000</v>
      </c>
    </row>
    <row r="10" spans="1:15" x14ac:dyDescent="0.3">
      <c r="A10" s="17" t="s">
        <v>87</v>
      </c>
      <c r="B10" s="18">
        <v>208</v>
      </c>
      <c r="C10" s="18">
        <v>2080</v>
      </c>
    </row>
    <row r="11" spans="1:15" x14ac:dyDescent="0.3">
      <c r="A11" s="17" t="s">
        <v>78</v>
      </c>
      <c r="B11" s="18">
        <v>380</v>
      </c>
      <c r="C11" s="18">
        <v>3800</v>
      </c>
    </row>
    <row r="12" spans="1:15" x14ac:dyDescent="0.3">
      <c r="A12" s="17" t="s">
        <v>80</v>
      </c>
      <c r="B12" s="18">
        <v>400</v>
      </c>
      <c r="C12" s="18">
        <v>4000</v>
      </c>
    </row>
    <row r="13" spans="1:15" x14ac:dyDescent="0.3">
      <c r="A13" s="17" t="s">
        <v>83</v>
      </c>
      <c r="B13" s="18">
        <v>200</v>
      </c>
      <c r="C13" s="18">
        <v>2000</v>
      </c>
    </row>
    <row r="14" spans="1:15" x14ac:dyDescent="0.3">
      <c r="A14" s="17" t="s">
        <v>98</v>
      </c>
      <c r="B14" s="18">
        <v>5000</v>
      </c>
      <c r="C14" s="18">
        <v>50000</v>
      </c>
    </row>
    <row r="15" spans="1:15" x14ac:dyDescent="0.3">
      <c r="A15" s="17" t="s">
        <v>117</v>
      </c>
      <c r="B15" s="18">
        <v>17778</v>
      </c>
      <c r="C15" s="18">
        <v>177780</v>
      </c>
    </row>
    <row r="18" spans="1:1" x14ac:dyDescent="0.3">
      <c r="A18" s="24"/>
    </row>
    <row r="19" spans="1:1" x14ac:dyDescent="0.3">
      <c r="A19" s="24" t="s">
        <v>143</v>
      </c>
    </row>
  </sheetData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AA9D9-E695-4BC7-8B39-2513BFAE3D78}">
  <dimension ref="B1:M25"/>
  <sheetViews>
    <sheetView tabSelected="1" topLeftCell="B1" zoomScale="130" zoomScaleNormal="130" workbookViewId="0">
      <selection activeCell="N1" sqref="N1:N1048576"/>
    </sheetView>
  </sheetViews>
  <sheetFormatPr baseColWidth="10" defaultRowHeight="14.4" x14ac:dyDescent="0.3"/>
  <cols>
    <col min="1" max="1" width="2.77734375" customWidth="1"/>
    <col min="14" max="14" width="1.5546875" customWidth="1"/>
  </cols>
  <sheetData>
    <row r="1" spans="2:13" x14ac:dyDescent="0.3"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</row>
    <row r="2" spans="2:13" x14ac:dyDescent="0.3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3" spans="2:13" x14ac:dyDescent="0.3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4" spans="2:13" x14ac:dyDescent="0.3"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</row>
    <row r="5" spans="2:13" x14ac:dyDescent="0.3"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</row>
    <row r="6" spans="2:13" x14ac:dyDescent="0.3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2:13" x14ac:dyDescent="0.3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</row>
    <row r="8" spans="2:13" x14ac:dyDescent="0.3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</row>
    <row r="9" spans="2:13" x14ac:dyDescent="0.3"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2:13" x14ac:dyDescent="0.3"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</row>
    <row r="11" spans="2:13" x14ac:dyDescent="0.3"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</row>
    <row r="12" spans="2:13" x14ac:dyDescent="0.3"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</row>
    <row r="13" spans="2:13" x14ac:dyDescent="0.3"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</row>
    <row r="16" spans="2:13" x14ac:dyDescent="0.3"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</row>
    <row r="17" spans="2:13" x14ac:dyDescent="0.3"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</row>
    <row r="18" spans="2:13" x14ac:dyDescent="0.3"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</row>
    <row r="19" spans="2:13" x14ac:dyDescent="0.3"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</row>
    <row r="20" spans="2:13" x14ac:dyDescent="0.3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</row>
    <row r="21" spans="2:13" x14ac:dyDescent="0.3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</row>
    <row r="22" spans="2:13" x14ac:dyDescent="0.3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</row>
    <row r="23" spans="2:13" x14ac:dyDescent="0.3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</row>
    <row r="24" spans="2:13" x14ac:dyDescent="0.3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</row>
    <row r="25" spans="2:13" x14ac:dyDescent="0.3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BA57-4691-4985-9982-143C3528B2DD}">
  <sheetPr codeName="Hoja2"/>
  <dimension ref="A1:L15"/>
  <sheetViews>
    <sheetView zoomScale="80" zoomScaleNormal="80" workbookViewId="0">
      <selection activeCell="J20" sqref="J20"/>
    </sheetView>
  </sheetViews>
  <sheetFormatPr baseColWidth="10" defaultRowHeight="14.4" x14ac:dyDescent="0.3"/>
  <cols>
    <col min="1" max="1" width="18.77734375" customWidth="1"/>
    <col min="2" max="2" width="38.109375" customWidth="1"/>
    <col min="3" max="3" width="25" customWidth="1"/>
    <col min="4" max="4" width="21.21875" customWidth="1"/>
    <col min="5" max="5" width="21.6640625" customWidth="1"/>
    <col min="6" max="6" width="25.77734375" style="3" customWidth="1"/>
    <col min="7" max="7" width="20" customWidth="1"/>
    <col min="8" max="8" width="30.6640625" style="1" customWidth="1"/>
    <col min="9" max="9" width="22.109375" customWidth="1"/>
    <col min="10" max="10" width="22.44140625" customWidth="1"/>
    <col min="11" max="11" width="18.21875" customWidth="1"/>
    <col min="12" max="12" width="24.77734375" style="3" customWidth="1"/>
  </cols>
  <sheetData>
    <row r="1" spans="1:12" s="4" customFormat="1" ht="15.6" x14ac:dyDescent="0.3">
      <c r="F1" s="5"/>
      <c r="H1" s="6"/>
      <c r="L1" s="5"/>
    </row>
    <row r="2" spans="1:12" s="8" customFormat="1" ht="18.600000000000001" thickBot="1" x14ac:dyDescent="0.35">
      <c r="A2" s="8" t="s">
        <v>0</v>
      </c>
      <c r="B2" s="8" t="s">
        <v>16</v>
      </c>
      <c r="C2" s="8" t="s">
        <v>17</v>
      </c>
      <c r="D2" s="8" t="s">
        <v>1</v>
      </c>
      <c r="E2" s="8" t="s">
        <v>2</v>
      </c>
      <c r="F2" s="9" t="s">
        <v>3</v>
      </c>
      <c r="G2" s="8" t="s">
        <v>4</v>
      </c>
      <c r="H2" s="10" t="s">
        <v>18</v>
      </c>
      <c r="I2" s="8" t="s">
        <v>19</v>
      </c>
      <c r="J2" s="8" t="s">
        <v>20</v>
      </c>
      <c r="K2" s="8" t="s">
        <v>21</v>
      </c>
      <c r="L2" s="9" t="s">
        <v>22</v>
      </c>
    </row>
    <row r="3" spans="1:12" s="8" customFormat="1" ht="18.600000000000001" thickBot="1" x14ac:dyDescent="0.4">
      <c r="A3" s="8" t="str">
        <f>VLOOKUP(Tabla1[descrip_producto],TablaProductos[#All],2,FALSE)</f>
        <v>DQ-0107</v>
      </c>
      <c r="B3" s="31" t="s">
        <v>98</v>
      </c>
      <c r="C3" s="8" t="str">
        <f>VLOOKUP(Tabla1[descrip_producto],TablaProductos[#All],3,FALSE)</f>
        <v>LITRO</v>
      </c>
      <c r="D3" s="8" t="str">
        <f>VLOOKUP(Tabla1[descrip_producto],TablaProductos[#All],4,FALSE)</f>
        <v>TAMBO 200</v>
      </c>
      <c r="E3" s="8">
        <f>VLOOKUP(Tabla1[descrip_producto],TablaProductos[#All],5,FALSE)</f>
        <v>200</v>
      </c>
      <c r="F3" s="31">
        <v>10</v>
      </c>
      <c r="G3" s="8" t="str">
        <f>VLOOKUP(Tabla1[descrip_producto],TablaProductos[#All],6,FALSE)</f>
        <v>USD</v>
      </c>
      <c r="H3" s="32">
        <v>5000</v>
      </c>
      <c r="I3" s="31">
        <v>1</v>
      </c>
      <c r="J3" s="31" t="s">
        <v>110</v>
      </c>
      <c r="K3" s="31" t="s">
        <v>111</v>
      </c>
      <c r="L3" s="9">
        <f>Tabla1[precio_unitario]*Tabla1[cant_ingreso_planta]</f>
        <v>50000</v>
      </c>
    </row>
    <row r="4" spans="1:12" s="8" customFormat="1" ht="18.600000000000001" thickBot="1" x14ac:dyDescent="0.4">
      <c r="A4" s="8" t="str">
        <f>VLOOKUP(Tabla1[descrip_producto],TablaProductos[#All],2,FALSE)</f>
        <v>DQ-0019</v>
      </c>
      <c r="B4" s="14" t="s">
        <v>35</v>
      </c>
      <c r="C4" s="8" t="str">
        <f>VLOOKUP(Tabla1[descrip_producto],TablaProductos[#All],3,FALSE)</f>
        <v>LITRO</v>
      </c>
      <c r="D4" s="8" t="str">
        <f>VLOOKUP(Tabla1[descrip_producto],TablaProductos[#All],4,FALSE)</f>
        <v xml:space="preserve">TOTE </v>
      </c>
      <c r="E4" s="8">
        <f>VLOOKUP(Tabla1[descrip_producto],TablaProductos[#All],5,FALSE)</f>
        <v>1000</v>
      </c>
      <c r="F4" s="14">
        <v>10</v>
      </c>
      <c r="G4" s="8" t="str">
        <f>VLOOKUP(Tabla1[descrip_producto],TablaProductos[#All],6,FALSE)</f>
        <v>MXN</v>
      </c>
      <c r="H4" s="20">
        <v>2000</v>
      </c>
      <c r="I4" s="14">
        <v>2</v>
      </c>
      <c r="J4" s="14" t="s">
        <v>110</v>
      </c>
      <c r="K4" s="14" t="s">
        <v>111</v>
      </c>
      <c r="L4" s="9">
        <f>Tabla1[precio_unitario]*Tabla1[cant_ingreso_planta]</f>
        <v>20000</v>
      </c>
    </row>
    <row r="5" spans="1:12" s="8" customFormat="1" ht="18.600000000000001" thickBot="1" x14ac:dyDescent="0.4">
      <c r="A5" s="8" t="str">
        <f>VLOOKUP(Tabla1[descrip_producto],TablaProductos[#All],2,FALSE)</f>
        <v>DQ-0047</v>
      </c>
      <c r="B5" s="14" t="s">
        <v>43</v>
      </c>
      <c r="C5" s="8" t="str">
        <f>VLOOKUP(Tabla1[descrip_producto],TablaProductos[#All],3,FALSE)</f>
        <v>LITRO</v>
      </c>
      <c r="D5" s="8" t="str">
        <f>VLOOKUP(Tabla1[descrip_producto],TablaProductos[#All],4,FALSE)</f>
        <v xml:space="preserve">TAMBO </v>
      </c>
      <c r="E5" s="8">
        <f>VLOOKUP(Tabla1[descrip_producto],TablaProductos[#All],5,FALSE)</f>
        <v>208</v>
      </c>
      <c r="F5" s="14">
        <v>10</v>
      </c>
      <c r="G5" s="8" t="str">
        <f>VLOOKUP(Tabla1[descrip_producto],TablaProductos[#All],6,FALSE)</f>
        <v>MXN</v>
      </c>
      <c r="H5" s="14">
        <v>832</v>
      </c>
      <c r="I5" s="14">
        <v>2</v>
      </c>
      <c r="J5" s="14" t="s">
        <v>110</v>
      </c>
      <c r="K5" s="14" t="s">
        <v>115</v>
      </c>
      <c r="L5" s="9">
        <f>Tabla1[precio_unitario]*Tabla1[cant_ingreso_planta]</f>
        <v>8320</v>
      </c>
    </row>
    <row r="6" spans="1:12" s="8" customFormat="1" ht="18.600000000000001" thickBot="1" x14ac:dyDescent="0.4">
      <c r="A6" s="8" t="str">
        <f>VLOOKUP(Tabla1[descrip_producto],TablaProductos[#All],2,FALSE)</f>
        <v>DQ-0012</v>
      </c>
      <c r="B6" s="14" t="s">
        <v>66</v>
      </c>
      <c r="C6" s="8" t="str">
        <f>VLOOKUP(Tabla1[descrip_producto],TablaProductos[#All],3,FALSE)</f>
        <v>LITRO</v>
      </c>
      <c r="D6" s="8" t="str">
        <f>VLOOKUP(Tabla1[descrip_producto],TablaProductos[#All],4,FALSE)</f>
        <v>TAMBO</v>
      </c>
      <c r="E6" s="8">
        <f>VLOOKUP(Tabla1[descrip_producto],TablaProductos[#All],5,FALSE)</f>
        <v>200</v>
      </c>
      <c r="F6" s="14">
        <v>10</v>
      </c>
      <c r="G6" s="8" t="str">
        <f>VLOOKUP(Tabla1[descrip_producto],TablaProductos[#All],6,FALSE)</f>
        <v>USD</v>
      </c>
      <c r="H6" s="20">
        <v>3000</v>
      </c>
      <c r="I6" s="14">
        <v>2</v>
      </c>
      <c r="J6" s="14" t="s">
        <v>110</v>
      </c>
      <c r="K6" s="14" t="s">
        <v>111</v>
      </c>
      <c r="L6" s="9">
        <f>Tabla1[precio_unitario]*Tabla1[cant_ingreso_planta]</f>
        <v>30000</v>
      </c>
    </row>
    <row r="7" spans="1:12" s="8" customFormat="1" ht="18.600000000000001" thickBot="1" x14ac:dyDescent="0.4">
      <c r="A7" s="8" t="str">
        <f>VLOOKUP(Tabla1[descrip_producto],TablaProductos[#All],2,FALSE)</f>
        <v>DQ-0117</v>
      </c>
      <c r="B7" s="14" t="s">
        <v>93</v>
      </c>
      <c r="C7" s="8" t="str">
        <f>VLOOKUP(Tabla1[descrip_producto],TablaProductos[#All],3,FALSE)</f>
        <v>LITRO</v>
      </c>
      <c r="D7" s="8" t="str">
        <f>VLOOKUP(Tabla1[descrip_producto],TablaProductos[#All],4,FALSE)</f>
        <v>TAMBO</v>
      </c>
      <c r="E7" s="8">
        <f>VLOOKUP(Tabla1[descrip_producto],TablaProductos[#All],5,FALSE)</f>
        <v>200</v>
      </c>
      <c r="F7" s="14">
        <v>10</v>
      </c>
      <c r="G7" s="8" t="str">
        <f>VLOOKUP(Tabla1[descrip_producto],TablaProductos[#All],6,FALSE)</f>
        <v>USD</v>
      </c>
      <c r="H7" s="14">
        <v>600</v>
      </c>
      <c r="I7" s="14">
        <v>4</v>
      </c>
      <c r="J7" s="14" t="s">
        <v>110</v>
      </c>
      <c r="K7" s="14" t="s">
        <v>111</v>
      </c>
      <c r="L7" s="9">
        <f>Tabla1[precio_unitario]*Tabla1[cant_ingreso_planta]</f>
        <v>6000</v>
      </c>
    </row>
    <row r="8" spans="1:12" s="8" customFormat="1" ht="18.600000000000001" thickBot="1" x14ac:dyDescent="0.4">
      <c r="A8" s="8" t="str">
        <f>VLOOKUP(Tabla1[descrip_producto],TablaProductos[#All],2,FALSE)</f>
        <v>DQ-0116</v>
      </c>
      <c r="B8" s="14" t="s">
        <v>91</v>
      </c>
      <c r="C8" s="8" t="str">
        <f>VLOOKUP(Tabla1[descrip_producto],TablaProductos[#All],3,FALSE)</f>
        <v>LITRO</v>
      </c>
      <c r="D8" s="8" t="str">
        <f>VLOOKUP(Tabla1[descrip_producto],TablaProductos[#All],4,FALSE)</f>
        <v>TAMBO</v>
      </c>
      <c r="E8" s="8">
        <f>VLOOKUP(Tabla1[descrip_producto],TablaProductos[#All],5,FALSE)</f>
        <v>200</v>
      </c>
      <c r="F8" s="14">
        <v>10</v>
      </c>
      <c r="G8" s="8" t="str">
        <f>VLOOKUP(Tabla1[descrip_producto],TablaProductos[#All],6,FALSE)</f>
        <v>USD</v>
      </c>
      <c r="H8" s="14">
        <v>5000</v>
      </c>
      <c r="I8" s="14">
        <v>4</v>
      </c>
      <c r="J8" s="14" t="s">
        <v>110</v>
      </c>
      <c r="K8" s="14" t="s">
        <v>111</v>
      </c>
      <c r="L8" s="9">
        <f>Tabla1[precio_unitario]*Tabla1[cant_ingreso_planta]</f>
        <v>50000</v>
      </c>
    </row>
    <row r="9" spans="1:12" s="8" customFormat="1" ht="18.600000000000001" thickBot="1" x14ac:dyDescent="0.4">
      <c r="A9" s="8" t="str">
        <f>VLOOKUP(Tabla1[descrip_producto],TablaProductos[#All],2,FALSE)</f>
        <v>DQ-0078</v>
      </c>
      <c r="B9" s="14" t="s">
        <v>89</v>
      </c>
      <c r="C9" s="8" t="str">
        <f>VLOOKUP(Tabla1[descrip_producto],TablaProductos[#All],3,FALSE)</f>
        <v>LITRO</v>
      </c>
      <c r="D9" s="8" t="str">
        <f>VLOOKUP(Tabla1[descrip_producto],TablaProductos[#All],4,FALSE)</f>
        <v xml:space="preserve">CUBETA </v>
      </c>
      <c r="E9" s="8">
        <f>VLOOKUP(Tabla1[descrip_producto],TablaProductos[#All],5,FALSE)</f>
        <v>19</v>
      </c>
      <c r="F9" s="14">
        <v>10</v>
      </c>
      <c r="G9" s="8" t="str">
        <f>VLOOKUP(Tabla1[descrip_producto],TablaProductos[#All],6,FALSE)</f>
        <v>USD</v>
      </c>
      <c r="H9" s="14">
        <v>190</v>
      </c>
      <c r="I9" s="14">
        <v>4</v>
      </c>
      <c r="J9" s="14" t="s">
        <v>110</v>
      </c>
      <c r="K9" s="14" t="s">
        <v>111</v>
      </c>
      <c r="L9" s="9">
        <f>Tabla1[precio_unitario]*Tabla1[cant_ingreso_planta]</f>
        <v>1900</v>
      </c>
    </row>
    <row r="10" spans="1:12" s="8" customFormat="1" ht="18.600000000000001" thickBot="1" x14ac:dyDescent="0.4">
      <c r="A10" s="8" t="str">
        <f>VLOOKUP(Tabla1[descrip_producto],TablaProductos[#All],2,FALSE)</f>
        <v>DQ-0077</v>
      </c>
      <c r="B10" s="14" t="s">
        <v>87</v>
      </c>
      <c r="C10" s="8" t="str">
        <f>VLOOKUP(Tabla1[descrip_producto],TablaProductos[#All],3,FALSE)</f>
        <v>LITRO</v>
      </c>
      <c r="D10" s="8" t="str">
        <f>VLOOKUP(Tabla1[descrip_producto],TablaProductos[#All],4,FALSE)</f>
        <v xml:space="preserve">TAMBO </v>
      </c>
      <c r="E10" s="8">
        <f>VLOOKUP(Tabla1[descrip_producto],TablaProductos[#All],5,FALSE)</f>
        <v>208</v>
      </c>
      <c r="F10" s="14">
        <v>10</v>
      </c>
      <c r="G10" s="8" t="str">
        <f>VLOOKUP(Tabla1[descrip_producto],TablaProductos[#All],6,FALSE)</f>
        <v>USD</v>
      </c>
      <c r="H10" s="14">
        <v>208</v>
      </c>
      <c r="I10" s="14">
        <v>4</v>
      </c>
      <c r="J10" s="14" t="s">
        <v>110</v>
      </c>
      <c r="K10" s="14" t="s">
        <v>111</v>
      </c>
      <c r="L10" s="9">
        <f>Tabla1[precio_unitario]*Tabla1[cant_ingreso_planta]</f>
        <v>2080</v>
      </c>
    </row>
    <row r="11" spans="1:12" s="8" customFormat="1" ht="18.600000000000001" thickBot="1" x14ac:dyDescent="0.4">
      <c r="A11" s="8" t="str">
        <f>VLOOKUP(Tabla1[descrip_producto],TablaProductos[#All],2,FALSE)</f>
        <v>DQ-0071</v>
      </c>
      <c r="B11" s="14" t="s">
        <v>83</v>
      </c>
      <c r="C11" s="8" t="str">
        <f>VLOOKUP(Tabla1[descrip_producto],TablaProductos[#All],3,FALSE)</f>
        <v>LITRO</v>
      </c>
      <c r="D11" s="8" t="str">
        <f>VLOOKUP(Tabla1[descrip_producto],TablaProductos[#All],4,FALSE)</f>
        <v xml:space="preserve">TAMBO </v>
      </c>
      <c r="E11" s="8">
        <f>VLOOKUP(Tabla1[descrip_producto],TablaProductos[#All],5,FALSE)</f>
        <v>200</v>
      </c>
      <c r="F11" s="14">
        <v>10</v>
      </c>
      <c r="G11" s="8" t="str">
        <f>VLOOKUP(Tabla1[descrip_producto],TablaProductos[#All],6,FALSE)</f>
        <v>USD</v>
      </c>
      <c r="H11" s="14">
        <v>200</v>
      </c>
      <c r="I11" s="14">
        <v>4</v>
      </c>
      <c r="J11" s="14" t="s">
        <v>110</v>
      </c>
      <c r="K11" s="14" t="s">
        <v>111</v>
      </c>
      <c r="L11" s="9">
        <f>Tabla1[precio_unitario]*Tabla1[cant_ingreso_planta]</f>
        <v>2000</v>
      </c>
    </row>
    <row r="12" spans="1:12" s="8" customFormat="1" ht="18.600000000000001" thickBot="1" x14ac:dyDescent="0.4">
      <c r="A12" s="8" t="str">
        <f>VLOOKUP(Tabla1[descrip_producto],TablaProductos[#All],2,FALSE)</f>
        <v>DQ-0062</v>
      </c>
      <c r="B12" s="14" t="s">
        <v>80</v>
      </c>
      <c r="C12" s="8" t="str">
        <f>VLOOKUP(Tabla1[descrip_producto],TablaProductos[#All],3,FALSE)</f>
        <v>GALON</v>
      </c>
      <c r="D12" s="8" t="str">
        <f>VLOOKUP(Tabla1[descrip_producto],TablaProductos[#All],4,FALSE)</f>
        <v xml:space="preserve">TAMBO </v>
      </c>
      <c r="E12" s="8">
        <f>VLOOKUP(Tabla1[descrip_producto],TablaProductos[#All],5,FALSE)</f>
        <v>200</v>
      </c>
      <c r="F12" s="14">
        <v>10</v>
      </c>
      <c r="G12" s="8" t="str">
        <f>VLOOKUP(Tabla1[descrip_producto],TablaProductos[#All],6,FALSE)</f>
        <v>USD</v>
      </c>
      <c r="H12" s="14">
        <v>400</v>
      </c>
      <c r="I12" s="14">
        <v>3</v>
      </c>
      <c r="J12" s="14" t="s">
        <v>110</v>
      </c>
      <c r="K12" s="14" t="s">
        <v>111</v>
      </c>
      <c r="L12" s="9">
        <f>Tabla1[precio_unitario]*Tabla1[cant_ingreso_planta]</f>
        <v>4000</v>
      </c>
    </row>
    <row r="13" spans="1:12" s="8" customFormat="1" ht="18.600000000000001" thickBot="1" x14ac:dyDescent="0.4">
      <c r="A13" s="8" t="str">
        <f>VLOOKUP(Tabla1[descrip_producto],TablaProductos[#All],2,FALSE)</f>
        <v>DQ-0059</v>
      </c>
      <c r="B13" s="14" t="s">
        <v>78</v>
      </c>
      <c r="C13" s="8" t="str">
        <f>VLOOKUP(Tabla1[descrip_producto],TablaProductos[#All],3,FALSE)</f>
        <v>LITRO</v>
      </c>
      <c r="D13" s="8" t="str">
        <f>VLOOKUP(Tabla1[descrip_producto],TablaProductos[#All],4,FALSE)</f>
        <v xml:space="preserve">CUBETA </v>
      </c>
      <c r="E13" s="8">
        <f>VLOOKUP(Tabla1[descrip_producto],TablaProductos[#All],5,FALSE)</f>
        <v>19</v>
      </c>
      <c r="F13" s="14">
        <v>10</v>
      </c>
      <c r="G13" s="8" t="str">
        <f>VLOOKUP(Tabla1[descrip_producto],TablaProductos[#All],6,FALSE)</f>
        <v>USD</v>
      </c>
      <c r="H13" s="14">
        <v>380</v>
      </c>
      <c r="I13" s="14">
        <v>3</v>
      </c>
      <c r="J13" s="14" t="s">
        <v>110</v>
      </c>
      <c r="K13" s="14" t="s">
        <v>111</v>
      </c>
      <c r="L13" s="9">
        <f>Tabla1[precio_unitario]*Tabla1[cant_ingreso_planta]</f>
        <v>3800</v>
      </c>
    </row>
    <row r="14" spans="1:12" s="8" customFormat="1" ht="18.600000000000001" thickBot="1" x14ac:dyDescent="0.4">
      <c r="A14" s="8" t="str">
        <f>VLOOKUP(Tabla1[descrip_producto],TablaProductos[#All],2,FALSE)</f>
        <v>DQ-0069</v>
      </c>
      <c r="B14" s="14" t="s">
        <v>68</v>
      </c>
      <c r="C14" s="8" t="str">
        <f>VLOOKUP(Tabla1[descrip_producto],TablaProductos[#All],3,FALSE)</f>
        <v>LITRO</v>
      </c>
      <c r="D14" s="8" t="str">
        <f>VLOOKUP(Tabla1[descrip_producto],TablaProductos[#All],4,FALSE)</f>
        <v>TAMBO</v>
      </c>
      <c r="E14" s="8">
        <f>VLOOKUP(Tabla1[descrip_producto],TablaProductos[#All],5,FALSE)</f>
        <v>200</v>
      </c>
      <c r="F14" s="14">
        <v>10</v>
      </c>
      <c r="G14" s="8" t="str">
        <f>VLOOKUP(Tabla1[descrip_producto],TablaProductos[#All],6,FALSE)</f>
        <v>USD</v>
      </c>
      <c r="H14" s="14">
        <v>800</v>
      </c>
      <c r="I14" s="14">
        <v>2</v>
      </c>
      <c r="J14" s="14" t="s">
        <v>110</v>
      </c>
      <c r="K14" s="14" t="s">
        <v>111</v>
      </c>
      <c r="L14" s="9">
        <f>Tabla1[precio_unitario]*Tabla1[cant_ingreso_planta]</f>
        <v>8000</v>
      </c>
    </row>
    <row r="15" spans="1:12" ht="14.55" customHeight="1" x14ac:dyDescent="0.3"/>
  </sheetData>
  <pageMargins left="0.7" right="0.7" top="0.75" bottom="0.75" header="0.3" footer="0.3"/>
  <pageSetup paperSize="0" orientation="portrait" horizontalDpi="0" verticalDpi="0" copies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FD2429-BED1-4730-8BA9-CE6D9697F6D4}">
          <x14:formula1>
            <xm:f>PRODUCTOS!$A$2:$A$31</xm:f>
          </x14:formula1>
          <xm:sqref>B3:B14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72947-3DD8-4158-A406-FB566117CA07}">
  <sheetPr codeName="Hoja3"/>
  <dimension ref="A1:F31"/>
  <sheetViews>
    <sheetView workbookViewId="0">
      <selection activeCell="F12" sqref="F12"/>
    </sheetView>
  </sheetViews>
  <sheetFormatPr baseColWidth="10" defaultRowHeight="14.4" x14ac:dyDescent="0.3"/>
  <cols>
    <col min="1" max="1" width="40" customWidth="1"/>
    <col min="2" max="2" width="24.6640625" customWidth="1"/>
    <col min="3" max="3" width="18.44140625" customWidth="1"/>
    <col min="4" max="4" width="19.88671875" customWidth="1"/>
    <col min="5" max="5" width="13.88671875" customWidth="1"/>
    <col min="6" max="6" width="15.77734375" customWidth="1"/>
  </cols>
  <sheetData>
    <row r="1" spans="1:6" s="12" customFormat="1" x14ac:dyDescent="0.3">
      <c r="A1" s="11" t="s">
        <v>99</v>
      </c>
      <c r="B1" s="11" t="s">
        <v>23</v>
      </c>
      <c r="C1" s="11" t="s">
        <v>103</v>
      </c>
      <c r="D1" s="11" t="s">
        <v>100</v>
      </c>
      <c r="E1" s="11" t="s">
        <v>101</v>
      </c>
      <c r="F1" s="11" t="s">
        <v>102</v>
      </c>
    </row>
    <row r="2" spans="1:6" x14ac:dyDescent="0.3">
      <c r="A2" s="13" t="s">
        <v>41</v>
      </c>
      <c r="B2" s="13" t="s">
        <v>40</v>
      </c>
      <c r="C2" s="13" t="s">
        <v>13</v>
      </c>
      <c r="D2" s="13" t="s">
        <v>14</v>
      </c>
      <c r="E2" s="13">
        <v>208</v>
      </c>
      <c r="F2" s="13" t="s">
        <v>33</v>
      </c>
    </row>
    <row r="3" spans="1:6" x14ac:dyDescent="0.3">
      <c r="A3" s="13" t="s">
        <v>35</v>
      </c>
      <c r="B3" s="13" t="s">
        <v>34</v>
      </c>
      <c r="C3" s="13" t="s">
        <v>13</v>
      </c>
      <c r="D3" s="13" t="s">
        <v>36</v>
      </c>
      <c r="E3" s="13">
        <v>1000</v>
      </c>
      <c r="F3" s="13" t="s">
        <v>33</v>
      </c>
    </row>
    <row r="4" spans="1:6" x14ac:dyDescent="0.3">
      <c r="A4" s="13" t="s">
        <v>55</v>
      </c>
      <c r="B4" s="13" t="s">
        <v>54</v>
      </c>
      <c r="C4" s="13" t="s">
        <v>13</v>
      </c>
      <c r="D4" s="13" t="s">
        <v>14</v>
      </c>
      <c r="E4" s="13">
        <v>208</v>
      </c>
      <c r="F4" s="13" t="s">
        <v>33</v>
      </c>
    </row>
    <row r="5" spans="1:6" x14ac:dyDescent="0.3">
      <c r="A5" s="13" t="s">
        <v>57</v>
      </c>
      <c r="B5" s="13" t="s">
        <v>56</v>
      </c>
      <c r="C5" s="13" t="s">
        <v>13</v>
      </c>
      <c r="D5" s="13" t="s">
        <v>44</v>
      </c>
      <c r="E5" s="13">
        <v>208</v>
      </c>
      <c r="F5" s="13" t="s">
        <v>33</v>
      </c>
    </row>
    <row r="6" spans="1:6" x14ac:dyDescent="0.3">
      <c r="A6" s="13" t="s">
        <v>64</v>
      </c>
      <c r="B6" s="13" t="s">
        <v>63</v>
      </c>
      <c r="C6" s="13" t="s">
        <v>13</v>
      </c>
      <c r="D6" s="13" t="s">
        <v>50</v>
      </c>
      <c r="E6" s="13">
        <v>208</v>
      </c>
      <c r="F6" s="13" t="s">
        <v>33</v>
      </c>
    </row>
    <row r="7" spans="1:6" x14ac:dyDescent="0.3">
      <c r="A7" s="13" t="s">
        <v>68</v>
      </c>
      <c r="B7" s="13" t="s">
        <v>67</v>
      </c>
      <c r="C7" s="13" t="s">
        <v>13</v>
      </c>
      <c r="D7" s="13" t="s">
        <v>14</v>
      </c>
      <c r="E7" s="13">
        <v>200</v>
      </c>
      <c r="F7" s="13" t="s">
        <v>15</v>
      </c>
    </row>
    <row r="8" spans="1:6" x14ac:dyDescent="0.3">
      <c r="A8" s="13" t="s">
        <v>70</v>
      </c>
      <c r="B8" s="13" t="s">
        <v>69</v>
      </c>
      <c r="C8" s="13" t="s">
        <v>13</v>
      </c>
      <c r="D8" s="13" t="s">
        <v>14</v>
      </c>
      <c r="E8" s="13">
        <v>200</v>
      </c>
      <c r="F8" s="13" t="s">
        <v>15</v>
      </c>
    </row>
    <row r="9" spans="1:6" x14ac:dyDescent="0.3">
      <c r="A9" s="13" t="s">
        <v>76</v>
      </c>
      <c r="B9" s="13" t="s">
        <v>75</v>
      </c>
      <c r="C9" s="13" t="s">
        <v>13</v>
      </c>
      <c r="D9" s="13" t="s">
        <v>14</v>
      </c>
      <c r="E9" s="13">
        <v>200</v>
      </c>
      <c r="F9" s="13" t="s">
        <v>15</v>
      </c>
    </row>
    <row r="10" spans="1:6" x14ac:dyDescent="0.3">
      <c r="A10" s="13" t="s">
        <v>85</v>
      </c>
      <c r="B10" s="13" t="s">
        <v>84</v>
      </c>
      <c r="C10" s="13" t="s">
        <v>13</v>
      </c>
      <c r="D10" s="13" t="s">
        <v>14</v>
      </c>
      <c r="E10" s="13">
        <v>200</v>
      </c>
      <c r="F10" s="13" t="s">
        <v>15</v>
      </c>
    </row>
    <row r="11" spans="1:6" x14ac:dyDescent="0.3">
      <c r="A11" s="13" t="s">
        <v>32</v>
      </c>
      <c r="B11" s="13" t="s">
        <v>31</v>
      </c>
      <c r="C11" s="13" t="s">
        <v>13</v>
      </c>
      <c r="D11" s="13" t="s">
        <v>14</v>
      </c>
      <c r="E11" s="13">
        <v>200</v>
      </c>
      <c r="F11" s="13" t="s">
        <v>33</v>
      </c>
    </row>
    <row r="12" spans="1:6" x14ac:dyDescent="0.3">
      <c r="A12" s="13" t="s">
        <v>98</v>
      </c>
      <c r="B12" s="13" t="s">
        <v>97</v>
      </c>
      <c r="C12" s="13" t="s">
        <v>13</v>
      </c>
      <c r="D12" s="13" t="s">
        <v>96</v>
      </c>
      <c r="E12" s="13">
        <v>200</v>
      </c>
      <c r="F12" s="13" t="s">
        <v>15</v>
      </c>
    </row>
    <row r="13" spans="1:6" x14ac:dyDescent="0.3">
      <c r="A13" s="13" t="s">
        <v>91</v>
      </c>
      <c r="B13" s="13" t="s">
        <v>90</v>
      </c>
      <c r="C13" s="13" t="s">
        <v>13</v>
      </c>
      <c r="D13" s="13" t="s">
        <v>14</v>
      </c>
      <c r="E13" s="13">
        <v>200</v>
      </c>
      <c r="F13" s="13" t="s">
        <v>15</v>
      </c>
    </row>
    <row r="14" spans="1:6" x14ac:dyDescent="0.3">
      <c r="A14" s="13" t="s">
        <v>93</v>
      </c>
      <c r="B14" s="13" t="s">
        <v>92</v>
      </c>
      <c r="C14" s="13" t="s">
        <v>13</v>
      </c>
      <c r="D14" s="13" t="s">
        <v>14</v>
      </c>
      <c r="E14" s="13">
        <v>200</v>
      </c>
      <c r="F14" s="13" t="s">
        <v>15</v>
      </c>
    </row>
    <row r="15" spans="1:6" x14ac:dyDescent="0.3">
      <c r="A15" s="13" t="s">
        <v>89</v>
      </c>
      <c r="B15" s="13" t="s">
        <v>88</v>
      </c>
      <c r="C15" s="13" t="s">
        <v>13</v>
      </c>
      <c r="D15" s="13" t="s">
        <v>47</v>
      </c>
      <c r="E15" s="13">
        <v>19</v>
      </c>
      <c r="F15" s="13" t="s">
        <v>15</v>
      </c>
    </row>
    <row r="16" spans="1:6" x14ac:dyDescent="0.3">
      <c r="A16" s="13" t="s">
        <v>72</v>
      </c>
      <c r="B16" s="13" t="s">
        <v>71</v>
      </c>
      <c r="C16" s="13" t="s">
        <v>13</v>
      </c>
      <c r="D16" s="13" t="s">
        <v>14</v>
      </c>
      <c r="E16" s="13">
        <v>200</v>
      </c>
      <c r="F16" s="13" t="s">
        <v>15</v>
      </c>
    </row>
    <row r="17" spans="1:6" x14ac:dyDescent="0.3">
      <c r="A17" s="13" t="s">
        <v>66</v>
      </c>
      <c r="B17" s="13" t="s">
        <v>65</v>
      </c>
      <c r="C17" s="13" t="s">
        <v>13</v>
      </c>
      <c r="D17" s="13" t="s">
        <v>14</v>
      </c>
      <c r="E17" s="13">
        <v>200</v>
      </c>
      <c r="F17" s="13" t="s">
        <v>15</v>
      </c>
    </row>
    <row r="18" spans="1:6" x14ac:dyDescent="0.3">
      <c r="A18" s="13" t="s">
        <v>95</v>
      </c>
      <c r="B18" s="13" t="s">
        <v>94</v>
      </c>
      <c r="C18" s="13" t="s">
        <v>13</v>
      </c>
      <c r="D18" s="13" t="s">
        <v>96</v>
      </c>
      <c r="E18" s="13">
        <v>200</v>
      </c>
      <c r="F18" s="13" t="s">
        <v>15</v>
      </c>
    </row>
    <row r="19" spans="1:6" x14ac:dyDescent="0.3">
      <c r="A19" s="13" t="s">
        <v>59</v>
      </c>
      <c r="B19" s="13" t="s">
        <v>58</v>
      </c>
      <c r="C19" s="13" t="s">
        <v>60</v>
      </c>
      <c r="D19" s="13" t="s">
        <v>14</v>
      </c>
      <c r="E19" s="13">
        <v>200</v>
      </c>
      <c r="F19" s="13" t="s">
        <v>33</v>
      </c>
    </row>
    <row r="20" spans="1:6" x14ac:dyDescent="0.3">
      <c r="A20" s="13" t="s">
        <v>62</v>
      </c>
      <c r="B20" s="13" t="s">
        <v>61</v>
      </c>
      <c r="C20" s="13" t="s">
        <v>60</v>
      </c>
      <c r="D20" s="13" t="s">
        <v>47</v>
      </c>
      <c r="E20" s="13">
        <v>16</v>
      </c>
      <c r="F20" s="13" t="s">
        <v>33</v>
      </c>
    </row>
    <row r="21" spans="1:6" x14ac:dyDescent="0.3">
      <c r="A21" s="13" t="s">
        <v>87</v>
      </c>
      <c r="B21" s="13" t="s">
        <v>86</v>
      </c>
      <c r="C21" s="13" t="s">
        <v>13</v>
      </c>
      <c r="D21" s="13" t="s">
        <v>44</v>
      </c>
      <c r="E21" s="13">
        <v>208</v>
      </c>
      <c r="F21" s="13" t="s">
        <v>15</v>
      </c>
    </row>
    <row r="22" spans="1:6" x14ac:dyDescent="0.3">
      <c r="A22" s="13" t="s">
        <v>49</v>
      </c>
      <c r="B22" s="13" t="s">
        <v>48</v>
      </c>
      <c r="C22" s="13" t="s">
        <v>13</v>
      </c>
      <c r="D22" s="13" t="s">
        <v>50</v>
      </c>
      <c r="E22" s="13">
        <v>200</v>
      </c>
      <c r="F22" s="13" t="s">
        <v>33</v>
      </c>
    </row>
    <row r="23" spans="1:6" x14ac:dyDescent="0.3">
      <c r="A23" s="13" t="s">
        <v>78</v>
      </c>
      <c r="B23" s="13" t="s">
        <v>77</v>
      </c>
      <c r="C23" s="13" t="s">
        <v>13</v>
      </c>
      <c r="D23" s="13" t="s">
        <v>47</v>
      </c>
      <c r="E23" s="13">
        <v>19</v>
      </c>
      <c r="F23" s="13" t="s">
        <v>15</v>
      </c>
    </row>
    <row r="24" spans="1:6" x14ac:dyDescent="0.3">
      <c r="A24" s="13" t="s">
        <v>38</v>
      </c>
      <c r="B24" s="13" t="s">
        <v>37</v>
      </c>
      <c r="C24" s="13" t="s">
        <v>13</v>
      </c>
      <c r="D24" s="13" t="s">
        <v>39</v>
      </c>
      <c r="E24" s="13">
        <v>1000</v>
      </c>
      <c r="F24" s="13" t="s">
        <v>33</v>
      </c>
    </row>
    <row r="25" spans="1:6" x14ac:dyDescent="0.3">
      <c r="A25" s="13" t="s">
        <v>80</v>
      </c>
      <c r="B25" s="13" t="s">
        <v>79</v>
      </c>
      <c r="C25" s="13" t="s">
        <v>81</v>
      </c>
      <c r="D25" s="13" t="s">
        <v>44</v>
      </c>
      <c r="E25" s="13">
        <v>200</v>
      </c>
      <c r="F25" s="13" t="s">
        <v>15</v>
      </c>
    </row>
    <row r="26" spans="1:6" x14ac:dyDescent="0.3">
      <c r="A26" s="13" t="s">
        <v>74</v>
      </c>
      <c r="B26" s="13" t="s">
        <v>73</v>
      </c>
      <c r="C26" s="13" t="s">
        <v>13</v>
      </c>
      <c r="D26" s="13" t="s">
        <v>14</v>
      </c>
      <c r="E26" s="13">
        <v>200</v>
      </c>
      <c r="F26" s="13" t="s">
        <v>15</v>
      </c>
    </row>
    <row r="27" spans="1:6" x14ac:dyDescent="0.3">
      <c r="A27" s="13" t="s">
        <v>83</v>
      </c>
      <c r="B27" s="13" t="s">
        <v>82</v>
      </c>
      <c r="C27" s="13" t="s">
        <v>13</v>
      </c>
      <c r="D27" s="13" t="s">
        <v>44</v>
      </c>
      <c r="E27" s="13">
        <v>200</v>
      </c>
      <c r="F27" s="13" t="s">
        <v>15</v>
      </c>
    </row>
    <row r="28" spans="1:6" x14ac:dyDescent="0.3">
      <c r="A28" s="13" t="s">
        <v>43</v>
      </c>
      <c r="B28" s="13" t="s">
        <v>42</v>
      </c>
      <c r="C28" s="13" t="s">
        <v>13</v>
      </c>
      <c r="D28" s="13" t="s">
        <v>44</v>
      </c>
      <c r="E28" s="13">
        <v>208</v>
      </c>
      <c r="F28" s="13" t="s">
        <v>33</v>
      </c>
    </row>
    <row r="29" spans="1:6" x14ac:dyDescent="0.3">
      <c r="A29" s="13" t="s">
        <v>53</v>
      </c>
      <c r="B29" s="13" t="s">
        <v>52</v>
      </c>
      <c r="C29" s="13" t="s">
        <v>13</v>
      </c>
      <c r="D29" s="13" t="s">
        <v>14</v>
      </c>
      <c r="E29" s="13">
        <v>200</v>
      </c>
      <c r="F29" s="13" t="s">
        <v>33</v>
      </c>
    </row>
    <row r="30" spans="1:6" x14ac:dyDescent="0.3">
      <c r="A30" s="13" t="s">
        <v>46</v>
      </c>
      <c r="B30" s="13" t="s">
        <v>45</v>
      </c>
      <c r="C30" s="13" t="s">
        <v>13</v>
      </c>
      <c r="D30" s="13" t="s">
        <v>47</v>
      </c>
      <c r="E30" s="13">
        <v>20</v>
      </c>
      <c r="F30" s="13" t="s">
        <v>33</v>
      </c>
    </row>
    <row r="31" spans="1:6" x14ac:dyDescent="0.3">
      <c r="A31" s="13" t="s">
        <v>51</v>
      </c>
      <c r="B31" s="13"/>
      <c r="C31" s="13" t="s">
        <v>13</v>
      </c>
      <c r="D31" s="13" t="s">
        <v>50</v>
      </c>
      <c r="E31" s="13">
        <v>200</v>
      </c>
      <c r="F31" s="13" t="s">
        <v>33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1E6E4-03EE-407D-9E63-FF661B727E50}">
  <sheetPr codeName="Hoja5"/>
  <dimension ref="A2:N12"/>
  <sheetViews>
    <sheetView workbookViewId="0">
      <selection activeCell="M12" sqref="M12"/>
    </sheetView>
  </sheetViews>
  <sheetFormatPr baseColWidth="10" defaultRowHeight="14.4" x14ac:dyDescent="0.3"/>
  <cols>
    <col min="1" max="1" width="16.5546875" bestFit="1" customWidth="1"/>
    <col min="2" max="2" width="20.109375" bestFit="1" customWidth="1"/>
    <col min="3" max="3" width="20" bestFit="1" customWidth="1"/>
    <col min="5" max="5" width="2.88671875" style="22" customWidth="1"/>
    <col min="13" max="13" width="16.5546875" bestFit="1" customWidth="1"/>
    <col min="14" max="14" width="20.109375" bestFit="1" customWidth="1"/>
  </cols>
  <sheetData>
    <row r="2" spans="1:14" x14ac:dyDescent="0.3">
      <c r="A2" s="23" t="s">
        <v>144</v>
      </c>
      <c r="B2">
        <f>SUM(B7:B9)</f>
        <v>80</v>
      </c>
    </row>
    <row r="3" spans="1:14" x14ac:dyDescent="0.3">
      <c r="A3" s="23" t="s">
        <v>145</v>
      </c>
      <c r="B3">
        <f>ANALISIS_PLANTA!B2-B2</f>
        <v>17698</v>
      </c>
    </row>
    <row r="4" spans="1:14" x14ac:dyDescent="0.3">
      <c r="A4" s="23" t="s">
        <v>146</v>
      </c>
      <c r="B4">
        <f>LARGE(A6:B8,1)</f>
        <v>40</v>
      </c>
      <c r="M4" s="16" t="s">
        <v>116</v>
      </c>
      <c r="N4" t="s">
        <v>138</v>
      </c>
    </row>
    <row r="5" spans="1:14" x14ac:dyDescent="0.3">
      <c r="M5" s="17" t="s">
        <v>140</v>
      </c>
      <c r="N5" s="18">
        <v>40</v>
      </c>
    </row>
    <row r="6" spans="1:14" x14ac:dyDescent="0.3">
      <c r="A6" s="16" t="s">
        <v>116</v>
      </c>
      <c r="B6" t="s">
        <v>138</v>
      </c>
      <c r="M6" s="17" t="s">
        <v>125</v>
      </c>
      <c r="N6" s="18">
        <v>560</v>
      </c>
    </row>
    <row r="7" spans="1:14" x14ac:dyDescent="0.3">
      <c r="A7" s="17" t="s">
        <v>43</v>
      </c>
      <c r="B7" s="18">
        <v>40</v>
      </c>
      <c r="M7" s="17" t="s">
        <v>121</v>
      </c>
      <c r="N7" s="18">
        <v>56</v>
      </c>
    </row>
    <row r="8" spans="1:14" x14ac:dyDescent="0.3">
      <c r="A8" s="17" t="s">
        <v>117</v>
      </c>
      <c r="B8" s="18">
        <v>40</v>
      </c>
      <c r="M8" s="17" t="s">
        <v>141</v>
      </c>
      <c r="N8" s="18">
        <v>40</v>
      </c>
    </row>
    <row r="9" spans="1:14" x14ac:dyDescent="0.3">
      <c r="M9" s="17" t="s">
        <v>149</v>
      </c>
      <c r="N9" s="18">
        <v>87</v>
      </c>
    </row>
    <row r="10" spans="1:14" x14ac:dyDescent="0.3">
      <c r="M10" s="17" t="s">
        <v>117</v>
      </c>
      <c r="N10" s="18">
        <v>783</v>
      </c>
    </row>
    <row r="12" spans="1:14" x14ac:dyDescent="0.3">
      <c r="M12" s="17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E7D20-920A-48DF-B94E-4C824B51E837}">
  <sheetPr codeName="Hoja4"/>
  <dimension ref="A1:K33"/>
  <sheetViews>
    <sheetView zoomScaleNormal="100" workbookViewId="0">
      <selection activeCell="O31" sqref="O31"/>
    </sheetView>
  </sheetViews>
  <sheetFormatPr baseColWidth="10" defaultRowHeight="14.4" x14ac:dyDescent="0.3"/>
  <cols>
    <col min="1" max="1" width="15.21875" customWidth="1"/>
    <col min="2" max="2" width="43.44140625" customWidth="1"/>
    <col min="3" max="3" width="20" customWidth="1"/>
    <col min="4" max="4" width="16.21875" customWidth="1"/>
    <col min="5" max="5" width="18.6640625" customWidth="1"/>
    <col min="6" max="6" width="17.77734375" customWidth="1"/>
    <col min="7" max="7" width="19" customWidth="1"/>
    <col min="8" max="8" width="24.33203125" customWidth="1"/>
    <col min="9" max="9" width="23" customWidth="1"/>
    <col min="10" max="10" width="16" customWidth="1"/>
    <col min="11" max="11" width="18.5546875" customWidth="1"/>
  </cols>
  <sheetData>
    <row r="1" spans="1:11" s="7" customFormat="1" ht="15" thickBot="1" x14ac:dyDescent="0.35">
      <c r="A1" s="7" t="s">
        <v>23</v>
      </c>
      <c r="B1" s="7" t="s">
        <v>112</v>
      </c>
      <c r="C1" s="7" t="s">
        <v>114</v>
      </c>
      <c r="D1" s="7" t="s">
        <v>4</v>
      </c>
      <c r="E1" s="7" t="s">
        <v>24</v>
      </c>
      <c r="F1" s="7" t="s">
        <v>25</v>
      </c>
      <c r="G1" s="7" t="s">
        <v>26</v>
      </c>
      <c r="H1" s="7" t="s">
        <v>27</v>
      </c>
      <c r="I1" s="7" t="s">
        <v>28</v>
      </c>
      <c r="J1" s="7" t="s">
        <v>29</v>
      </c>
      <c r="K1" s="7" t="s">
        <v>30</v>
      </c>
    </row>
    <row r="2" spans="1:11" s="7" customFormat="1" ht="18.600000000000001" thickBot="1" x14ac:dyDescent="0.35">
      <c r="A2" s="7" t="str">
        <f>VLOOKUP(Tabla3[[#This Row],[Descripcion_producto]],TablaProductos[#All],2,FALSE)</f>
        <v>DQ-0107</v>
      </c>
      <c r="B2" s="7" t="s">
        <v>98</v>
      </c>
      <c r="C2" s="7">
        <f>VLOOKUP(Tabla3[[#This Row],[Descripcion_producto]],Tabla1[[#All],[descrip_producto]:[moneda]],5,FALSE)</f>
        <v>10</v>
      </c>
      <c r="D2" s="7" t="str">
        <f>VLOOKUP(Tabla3[[#This Row],[Descripcion_producto]],Tabla1[[#All],[descrip_producto]:[moneda]],6,FALSE)</f>
        <v>USD</v>
      </c>
      <c r="E2" s="30">
        <v>107</v>
      </c>
      <c r="F2" s="30" t="s">
        <v>125</v>
      </c>
      <c r="G2" s="30">
        <v>200</v>
      </c>
      <c r="H2" s="30">
        <v>1</v>
      </c>
      <c r="I2" s="30" t="s">
        <v>150</v>
      </c>
      <c r="J2" s="30">
        <v>2024</v>
      </c>
      <c r="K2" s="7">
        <f>Tabla3[LITROS_MAQ]*Tabla3[Precio_unitario]</f>
        <v>2000</v>
      </c>
    </row>
    <row r="3" spans="1:11" s="7" customFormat="1" ht="18.600000000000001" thickBot="1" x14ac:dyDescent="0.35">
      <c r="A3" s="7" t="str">
        <f>VLOOKUP(Tabla3[[#This Row],[Descripcion_producto]],TablaProductos[#All],2,FALSE)</f>
        <v>DQ-0078</v>
      </c>
      <c r="B3" s="7" t="s">
        <v>89</v>
      </c>
      <c r="C3" s="7">
        <f>VLOOKUP(Tabla3[[#This Row],[Descripcion_producto]],Tabla1[[#All],[descrip_producto]:[moneda]],5,FALSE)</f>
        <v>10</v>
      </c>
      <c r="D3" s="7" t="str">
        <f>VLOOKUP(Tabla3[[#This Row],[Descripcion_producto]],Tabla1[[#All],[descrip_producto]:[moneda]],6,FALSE)</f>
        <v>USD</v>
      </c>
      <c r="E3" s="30" t="s">
        <v>161</v>
      </c>
      <c r="F3" s="30" t="s">
        <v>125</v>
      </c>
      <c r="G3" s="30">
        <v>5</v>
      </c>
      <c r="H3" s="30">
        <v>1</v>
      </c>
      <c r="I3" s="30" t="s">
        <v>150</v>
      </c>
      <c r="J3" s="30">
        <v>2024</v>
      </c>
      <c r="K3" s="7">
        <f>Tabla3[LITROS_MAQ]*Tabla3[Precio_unitario]</f>
        <v>50</v>
      </c>
    </row>
    <row r="4" spans="1:11" s="7" customFormat="1" ht="18.600000000000001" thickBot="1" x14ac:dyDescent="0.35">
      <c r="A4" s="7" t="str">
        <f>VLOOKUP(Tabla3[[#This Row],[Descripcion_producto]],TablaProductos[#All],2,FALSE)</f>
        <v>DQ-0012</v>
      </c>
      <c r="B4" s="7" t="s">
        <v>66</v>
      </c>
      <c r="C4" s="7">
        <f>VLOOKUP(Tabla3[[#This Row],[Descripcion_producto]],Tabla1[[#All],[descrip_producto]:[moneda]],5,FALSE)</f>
        <v>10</v>
      </c>
      <c r="D4" s="7" t="str">
        <f>VLOOKUP(Tabla3[[#This Row],[Descripcion_producto]],Tabla1[[#All],[descrip_producto]:[moneda]],6,FALSE)</f>
        <v>USD</v>
      </c>
      <c r="E4" s="30" t="s">
        <v>160</v>
      </c>
      <c r="F4" s="30" t="s">
        <v>149</v>
      </c>
      <c r="G4" s="30">
        <v>10</v>
      </c>
      <c r="H4" s="30">
        <v>1</v>
      </c>
      <c r="I4" s="30" t="s">
        <v>150</v>
      </c>
      <c r="J4" s="30">
        <v>2024</v>
      </c>
      <c r="K4" s="7">
        <f>Tabla3[LITROS_MAQ]*Tabla3[Precio_unitario]</f>
        <v>100</v>
      </c>
    </row>
    <row r="5" spans="1:11" s="7" customFormat="1" ht="18.600000000000001" thickBot="1" x14ac:dyDescent="0.35">
      <c r="A5" s="7" t="str">
        <f>VLOOKUP(Tabla3[[#This Row],[Descripcion_producto]],TablaProductos[#All],2,FALSE)</f>
        <v>DQ-0012</v>
      </c>
      <c r="B5" s="7" t="s">
        <v>66</v>
      </c>
      <c r="C5" s="7">
        <f>VLOOKUP(Tabla3[[#This Row],[Descripcion_producto]],Tabla1[[#All],[descrip_producto]:[moneda]],5,FALSE)</f>
        <v>10</v>
      </c>
      <c r="D5" s="7" t="str">
        <f>VLOOKUP(Tabla3[[#This Row],[Descripcion_producto]],Tabla1[[#All],[descrip_producto]:[moneda]],6,FALSE)</f>
        <v>USD</v>
      </c>
      <c r="E5" s="30" t="s">
        <v>159</v>
      </c>
      <c r="F5" s="30" t="s">
        <v>149</v>
      </c>
      <c r="G5" s="30">
        <v>5</v>
      </c>
      <c r="H5" s="30">
        <v>1</v>
      </c>
      <c r="I5" s="30" t="s">
        <v>150</v>
      </c>
      <c r="J5" s="30">
        <v>2024</v>
      </c>
      <c r="K5" s="7">
        <f>Tabla3[LITROS_MAQ]*Tabla3[Precio_unitario]</f>
        <v>50</v>
      </c>
    </row>
    <row r="6" spans="1:11" s="7" customFormat="1" ht="18.600000000000001" thickBot="1" x14ac:dyDescent="0.35">
      <c r="A6" s="7" t="str">
        <f>VLOOKUP(Tabla3[[#This Row],[Descripcion_producto]],TablaProductos[#All],2,FALSE)</f>
        <v>DQ-0012</v>
      </c>
      <c r="B6" s="7" t="s">
        <v>66</v>
      </c>
      <c r="C6" s="7">
        <f>VLOOKUP(Tabla3[[#This Row],[Descripcion_producto]],Tabla1[[#All],[descrip_producto]:[moneda]],5,FALSE)</f>
        <v>10</v>
      </c>
      <c r="D6" s="7" t="str">
        <f>VLOOKUP(Tabla3[[#This Row],[Descripcion_producto]],Tabla1[[#All],[descrip_producto]:[moneda]],6,FALSE)</f>
        <v>USD</v>
      </c>
      <c r="E6" s="30" t="s">
        <v>158</v>
      </c>
      <c r="F6" s="30" t="s">
        <v>149</v>
      </c>
      <c r="G6" s="30">
        <v>8</v>
      </c>
      <c r="H6" s="30">
        <v>1</v>
      </c>
      <c r="I6" s="30" t="s">
        <v>150</v>
      </c>
      <c r="J6" s="30">
        <v>2024</v>
      </c>
      <c r="K6" s="7">
        <f>Tabla3[LITROS_MAQ]*Tabla3[Precio_unitario]</f>
        <v>80</v>
      </c>
    </row>
    <row r="7" spans="1:11" s="7" customFormat="1" ht="18.600000000000001" thickBot="1" x14ac:dyDescent="0.35">
      <c r="A7" s="7" t="str">
        <f>VLOOKUP(Tabla3[[#This Row],[Descripcion_producto]],TablaProductos[#All],2,FALSE)</f>
        <v>DQ-0012</v>
      </c>
      <c r="B7" s="7" t="s">
        <v>66</v>
      </c>
      <c r="C7" s="7">
        <f>VLOOKUP(Tabla3[[#This Row],[Descripcion_producto]],Tabla1[[#All],[descrip_producto]:[moneda]],5,FALSE)</f>
        <v>10</v>
      </c>
      <c r="D7" s="7" t="str">
        <f>VLOOKUP(Tabla3[[#This Row],[Descripcion_producto]],Tabla1[[#All],[descrip_producto]:[moneda]],6,FALSE)</f>
        <v>USD</v>
      </c>
      <c r="E7" s="30" t="s">
        <v>157</v>
      </c>
      <c r="F7" s="30" t="s">
        <v>149</v>
      </c>
      <c r="G7" s="30">
        <v>10</v>
      </c>
      <c r="H7" s="30">
        <v>1</v>
      </c>
      <c r="I7" s="30" t="s">
        <v>150</v>
      </c>
      <c r="J7" s="30">
        <v>2024</v>
      </c>
      <c r="K7" s="7">
        <f>Tabla3[LITROS_MAQ]*Tabla3[Precio_unitario]</f>
        <v>100</v>
      </c>
    </row>
    <row r="8" spans="1:11" s="7" customFormat="1" ht="18.600000000000001" thickBot="1" x14ac:dyDescent="0.35">
      <c r="A8" s="7" t="str">
        <f>VLOOKUP(Tabla3[[#This Row],[Descripcion_producto]],TablaProductos[#All],2,FALSE)</f>
        <v>DQ-0012</v>
      </c>
      <c r="B8" s="7" t="s">
        <v>66</v>
      </c>
      <c r="C8" s="7">
        <f>VLOOKUP(Tabla3[[#This Row],[Descripcion_producto]],Tabla1[[#All],[descrip_producto]:[moneda]],5,FALSE)</f>
        <v>10</v>
      </c>
      <c r="D8" s="7" t="str">
        <f>VLOOKUP(Tabla3[[#This Row],[Descripcion_producto]],Tabla1[[#All],[descrip_producto]:[moneda]],6,FALSE)</f>
        <v>USD</v>
      </c>
      <c r="E8" s="30" t="s">
        <v>156</v>
      </c>
      <c r="F8" s="30" t="s">
        <v>149</v>
      </c>
      <c r="G8" s="30">
        <v>10</v>
      </c>
      <c r="H8" s="30">
        <v>1</v>
      </c>
      <c r="I8" s="30" t="s">
        <v>150</v>
      </c>
      <c r="J8" s="30">
        <v>2024</v>
      </c>
      <c r="K8" s="7">
        <f>Tabla3[LITROS_MAQ]*Tabla3[Precio_unitario]</f>
        <v>100</v>
      </c>
    </row>
    <row r="9" spans="1:11" s="7" customFormat="1" ht="18.600000000000001" thickBot="1" x14ac:dyDescent="0.35">
      <c r="A9" s="7" t="str">
        <f>VLOOKUP(Tabla3[[#This Row],[Descripcion_producto]],TablaProductos[#All],2,FALSE)</f>
        <v>DQ-0012</v>
      </c>
      <c r="B9" s="7" t="s">
        <v>66</v>
      </c>
      <c r="C9" s="7">
        <f>VLOOKUP(Tabla3[[#This Row],[Descripcion_producto]],Tabla1[[#All],[descrip_producto]:[moneda]],5,FALSE)</f>
        <v>10</v>
      </c>
      <c r="D9" s="7" t="str">
        <f>VLOOKUP(Tabla3[[#This Row],[Descripcion_producto]],Tabla1[[#All],[descrip_producto]:[moneda]],6,FALSE)</f>
        <v>USD</v>
      </c>
      <c r="E9" s="30" t="s">
        <v>155</v>
      </c>
      <c r="F9" s="30" t="s">
        <v>149</v>
      </c>
      <c r="G9" s="30">
        <v>10</v>
      </c>
      <c r="H9" s="30">
        <v>1</v>
      </c>
      <c r="I9" s="30" t="s">
        <v>150</v>
      </c>
      <c r="J9" s="30">
        <v>2024</v>
      </c>
      <c r="K9" s="7">
        <f>Tabla3[LITROS_MAQ]*Tabla3[Precio_unitario]</f>
        <v>100</v>
      </c>
    </row>
    <row r="10" spans="1:11" s="7" customFormat="1" ht="18.600000000000001" thickBot="1" x14ac:dyDescent="0.35">
      <c r="A10" s="7" t="str">
        <f>VLOOKUP(Tabla3[[#This Row],[Descripcion_producto]],TablaProductos[#All],2,FALSE)</f>
        <v>DQ-0012</v>
      </c>
      <c r="B10" s="7" t="s">
        <v>66</v>
      </c>
      <c r="C10" s="7">
        <f>VLOOKUP(Tabla3[[#This Row],[Descripcion_producto]],Tabla1[[#All],[descrip_producto]:[moneda]],5,FALSE)</f>
        <v>10</v>
      </c>
      <c r="D10" s="7" t="str">
        <f>VLOOKUP(Tabla3[[#This Row],[Descripcion_producto]],Tabla1[[#All],[descrip_producto]:[moneda]],6,FALSE)</f>
        <v>USD</v>
      </c>
      <c r="E10" s="30" t="s">
        <v>154</v>
      </c>
      <c r="F10" s="30" t="s">
        <v>149</v>
      </c>
      <c r="G10" s="30">
        <v>8</v>
      </c>
      <c r="H10" s="30">
        <v>1</v>
      </c>
      <c r="I10" s="30" t="s">
        <v>150</v>
      </c>
      <c r="J10" s="30">
        <v>2024</v>
      </c>
      <c r="K10" s="7">
        <f>Tabla3[LITROS_MAQ]*Tabla3[Precio_unitario]</f>
        <v>80</v>
      </c>
    </row>
    <row r="11" spans="1:11" s="7" customFormat="1" ht="18.600000000000001" thickBot="1" x14ac:dyDescent="0.35">
      <c r="A11" s="7" t="str">
        <f>VLOOKUP(Tabla3[[#This Row],[Descripcion_producto]],TablaProductos[#All],2,FALSE)</f>
        <v>DQ-0012</v>
      </c>
      <c r="B11" s="7" t="s">
        <v>66</v>
      </c>
      <c r="C11" s="7">
        <f>VLOOKUP(Tabla3[[#This Row],[Descripcion_producto]],Tabla1[[#All],[descrip_producto]:[moneda]],5,FALSE)</f>
        <v>10</v>
      </c>
      <c r="D11" s="7" t="str">
        <f>VLOOKUP(Tabla3[[#This Row],[Descripcion_producto]],Tabla1[[#All],[descrip_producto]:[moneda]],6,FALSE)</f>
        <v>USD</v>
      </c>
      <c r="E11" s="30" t="s">
        <v>153</v>
      </c>
      <c r="F11" s="30" t="s">
        <v>149</v>
      </c>
      <c r="G11" s="30">
        <v>5</v>
      </c>
      <c r="H11" s="30">
        <v>1</v>
      </c>
      <c r="I11" s="30" t="s">
        <v>150</v>
      </c>
      <c r="J11" s="30">
        <v>2024</v>
      </c>
      <c r="K11" s="7">
        <f>Tabla3[LITROS_MAQ]*Tabla3[Precio_unitario]</f>
        <v>50</v>
      </c>
    </row>
    <row r="12" spans="1:11" s="7" customFormat="1" ht="18.600000000000001" thickBot="1" x14ac:dyDescent="0.35">
      <c r="A12" s="7" t="str">
        <f>VLOOKUP(Tabla3[[#This Row],[Descripcion_producto]],TablaProductos[#All],2,FALSE)</f>
        <v>DQ-0012</v>
      </c>
      <c r="B12" s="7" t="s">
        <v>66</v>
      </c>
      <c r="C12" s="7">
        <f>VLOOKUP(Tabla3[[#This Row],[Descripcion_producto]],Tabla1[[#All],[descrip_producto]:[moneda]],5,FALSE)</f>
        <v>10</v>
      </c>
      <c r="D12" s="7" t="str">
        <f>VLOOKUP(Tabla3[[#This Row],[Descripcion_producto]],Tabla1[[#All],[descrip_producto]:[moneda]],6,FALSE)</f>
        <v>USD</v>
      </c>
      <c r="E12" s="30" t="s">
        <v>152</v>
      </c>
      <c r="F12" s="30" t="s">
        <v>149</v>
      </c>
      <c r="G12" s="30">
        <v>5</v>
      </c>
      <c r="H12" s="30">
        <v>1</v>
      </c>
      <c r="I12" s="30" t="s">
        <v>150</v>
      </c>
      <c r="J12" s="30">
        <v>2024</v>
      </c>
      <c r="K12" s="7">
        <f>Tabla3[LITROS_MAQ]*Tabla3[Precio_unitario]</f>
        <v>50</v>
      </c>
    </row>
    <row r="13" spans="1:11" s="7" customFormat="1" ht="18.600000000000001" thickBot="1" x14ac:dyDescent="0.35">
      <c r="A13" s="7" t="str">
        <f>VLOOKUP(Tabla3[[#This Row],[Descripcion_producto]],TablaProductos[#All],2,FALSE)</f>
        <v>DQ-0012</v>
      </c>
      <c r="B13" s="7" t="s">
        <v>66</v>
      </c>
      <c r="C13" s="7">
        <f>VLOOKUP(Tabla3[[#This Row],[Descripcion_producto]],Tabla1[[#All],[descrip_producto]:[moneda]],5,FALSE)</f>
        <v>10</v>
      </c>
      <c r="D13" s="7" t="str">
        <f>VLOOKUP(Tabla3[[#This Row],[Descripcion_producto]],Tabla1[[#All],[descrip_producto]:[moneda]],6,FALSE)</f>
        <v>USD</v>
      </c>
      <c r="E13" s="30" t="s">
        <v>151</v>
      </c>
      <c r="F13" s="30" t="s">
        <v>149</v>
      </c>
      <c r="G13" s="30">
        <v>8</v>
      </c>
      <c r="H13" s="30">
        <v>1</v>
      </c>
      <c r="I13" s="30" t="s">
        <v>150</v>
      </c>
      <c r="J13" s="30">
        <v>2024</v>
      </c>
      <c r="K13" s="7">
        <f>Tabla3[LITROS_MAQ]*Tabla3[Precio_unitario]</f>
        <v>80</v>
      </c>
    </row>
    <row r="14" spans="1:11" s="7" customFormat="1" ht="18.600000000000001" thickBot="1" x14ac:dyDescent="0.35">
      <c r="A14" s="7" t="str">
        <f>VLOOKUP(Tabla3[[#This Row],[Descripcion_producto]],TablaProductos[#All],2,FALSE)</f>
        <v>DQ-0012</v>
      </c>
      <c r="B14" s="7" t="s">
        <v>66</v>
      </c>
      <c r="C14" s="7">
        <f>VLOOKUP(Tabla3[[#This Row],[Descripcion_producto]],Tabla1[[#All],[descrip_producto]:[moneda]],5,FALSE)</f>
        <v>10</v>
      </c>
      <c r="D14" s="7" t="str">
        <f>VLOOKUP(Tabla3[[#This Row],[Descripcion_producto]],Tabla1[[#All],[descrip_producto]:[moneda]],6,FALSE)</f>
        <v>USD</v>
      </c>
      <c r="E14" s="30" t="s">
        <v>148</v>
      </c>
      <c r="F14" s="30" t="s">
        <v>149</v>
      </c>
      <c r="G14" s="30">
        <v>8</v>
      </c>
      <c r="H14" s="30">
        <v>1</v>
      </c>
      <c r="I14" s="30" t="s">
        <v>150</v>
      </c>
      <c r="J14" s="30">
        <v>2024</v>
      </c>
      <c r="K14" s="7">
        <f>Tabla3[LITROS_MAQ]*Tabla3[Precio_unitario]</f>
        <v>80</v>
      </c>
    </row>
    <row r="15" spans="1:11" s="7" customFormat="1" ht="18.600000000000001" thickBot="1" x14ac:dyDescent="0.35">
      <c r="A15" s="7" t="str">
        <f>VLOOKUP(Tabla3[[#This Row],[Descripcion_producto]],TablaProductos[#All],2,FALSE)</f>
        <v>DQ-0047</v>
      </c>
      <c r="B15" s="7" t="s">
        <v>43</v>
      </c>
      <c r="C15" s="7">
        <f>VLOOKUP(Tabla3[[#This Row],[Descripcion_producto]],Tabla1[[#All],[descrip_producto]:[moneda]],5,FALSE)</f>
        <v>10</v>
      </c>
      <c r="D15" s="7" t="str">
        <f>VLOOKUP(Tabla3[[#This Row],[Descripcion_producto]],Tabla1[[#All],[descrip_producto]:[moneda]],6,FALSE)</f>
        <v>MXN</v>
      </c>
      <c r="E15" s="15" t="s">
        <v>139</v>
      </c>
      <c r="F15" s="15" t="s">
        <v>141</v>
      </c>
      <c r="G15" s="15">
        <v>40</v>
      </c>
      <c r="H15" s="15">
        <v>2</v>
      </c>
      <c r="I15" s="15" t="s">
        <v>110</v>
      </c>
      <c r="J15" s="15">
        <v>2024</v>
      </c>
      <c r="K15" s="7">
        <f>Tabla3[LITROS_MAQ]*Tabla3[Precio_unitario]</f>
        <v>400</v>
      </c>
    </row>
    <row r="16" spans="1:11" s="7" customFormat="1" ht="18.600000000000001" thickBot="1" x14ac:dyDescent="0.35">
      <c r="A16" s="7" t="str">
        <f>VLOOKUP(Tabla3[[#This Row],[Descripcion_producto]],TablaProductos[#All],2,FALSE)</f>
        <v>DQ-0047</v>
      </c>
      <c r="B16" s="7" t="s">
        <v>43</v>
      </c>
      <c r="C16" s="7">
        <f>VLOOKUP(Tabla3[[#This Row],[Descripcion_producto]],Tabla1[[#All],[descrip_producto]:[moneda]],5,FALSE)</f>
        <v>10</v>
      </c>
      <c r="D16" s="7" t="str">
        <f>VLOOKUP(Tabla3[[#This Row],[Descripcion_producto]],Tabla1[[#All],[descrip_producto]:[moneda]],6,FALSE)</f>
        <v>MXN</v>
      </c>
      <c r="E16" s="15" t="s">
        <v>139</v>
      </c>
      <c r="F16" s="15" t="s">
        <v>140</v>
      </c>
      <c r="G16" s="15">
        <v>40</v>
      </c>
      <c r="H16" s="15">
        <v>2</v>
      </c>
      <c r="I16" s="15" t="s">
        <v>110</v>
      </c>
      <c r="J16" s="15">
        <v>2024</v>
      </c>
      <c r="K16" s="7">
        <f>Tabla3[LITROS_MAQ]*Tabla3[Precio_unitario]</f>
        <v>400</v>
      </c>
    </row>
    <row r="17" spans="1:11" s="7" customFormat="1" ht="18.600000000000001" thickBot="1" x14ac:dyDescent="0.35">
      <c r="A17" s="7" t="str">
        <f>VLOOKUP(Tabla3[[#This Row],[Descripcion_producto]],TablaProductos[#All],2,FALSE)</f>
        <v>DQ-0047</v>
      </c>
      <c r="B17" s="7" t="s">
        <v>43</v>
      </c>
      <c r="C17" s="7">
        <f>VLOOKUP(Tabla3[[#This Row],[Descripcion_producto]],Tabla1[[#All],[descrip_producto]:[moneda]],5,FALSE)</f>
        <v>10</v>
      </c>
      <c r="D17" s="7" t="str">
        <f>VLOOKUP(Tabla3[[#This Row],[Descripcion_producto]],Tabla1[[#All],[descrip_producto]:[moneda]],6,FALSE)</f>
        <v>MXN</v>
      </c>
      <c r="E17" s="15" t="s">
        <v>132</v>
      </c>
      <c r="F17" s="15" t="s">
        <v>125</v>
      </c>
      <c r="G17" s="15">
        <v>40</v>
      </c>
      <c r="H17" s="15">
        <v>2</v>
      </c>
      <c r="I17" s="15" t="s">
        <v>110</v>
      </c>
      <c r="J17" s="15">
        <v>2024</v>
      </c>
      <c r="K17" s="7">
        <f>Tabla3[LITROS_MAQ]*Tabla3[Precio_unitario]</f>
        <v>400</v>
      </c>
    </row>
    <row r="18" spans="1:11" s="7" customFormat="1" ht="18.600000000000001" thickBot="1" x14ac:dyDescent="0.35">
      <c r="A18" s="7" t="str">
        <f>VLOOKUP(Tabla3[[#This Row],[Descripcion_producto]],TablaProductos[#All],2,FALSE)</f>
        <v>DQ-0019</v>
      </c>
      <c r="B18" s="7" t="s">
        <v>35</v>
      </c>
      <c r="C18" s="7">
        <f>VLOOKUP(Tabla3[[#This Row],[Descripcion_producto]],Tabla1[[#All],[descrip_producto]:[moneda]],5,FALSE)</f>
        <v>10</v>
      </c>
      <c r="D18" s="7" t="str">
        <f>VLOOKUP(Tabla3[[#This Row],[Descripcion_producto]],Tabla1[[#All],[descrip_producto]:[moneda]],6,FALSE)</f>
        <v>MXN</v>
      </c>
      <c r="E18" s="15" t="s">
        <v>137</v>
      </c>
      <c r="F18" s="15" t="s">
        <v>125</v>
      </c>
      <c r="G18" s="15">
        <v>20</v>
      </c>
      <c r="H18" s="15">
        <v>2</v>
      </c>
      <c r="I18" s="15" t="s">
        <v>110</v>
      </c>
      <c r="J18" s="15">
        <v>2024</v>
      </c>
      <c r="K18" s="7">
        <f>Tabla3[LITROS_MAQ]*Tabla3[Precio_unitario]</f>
        <v>200</v>
      </c>
    </row>
    <row r="19" spans="1:11" s="7" customFormat="1" ht="18.600000000000001" thickBot="1" x14ac:dyDescent="0.35">
      <c r="A19" s="7" t="str">
        <f>VLOOKUP(Tabla3[[#This Row],[Descripcion_producto]],TablaProductos[#All],2,FALSE)</f>
        <v>DQ-0019</v>
      </c>
      <c r="B19" s="7" t="s">
        <v>35</v>
      </c>
      <c r="C19" s="7">
        <f>VLOOKUP(Tabla3[[#This Row],[Descripcion_producto]],Tabla1[[#All],[descrip_producto]:[moneda]],5,FALSE)</f>
        <v>10</v>
      </c>
      <c r="D19" s="7" t="str">
        <f>VLOOKUP(Tabla3[[#This Row],[Descripcion_producto]],Tabla1[[#All],[descrip_producto]:[moneda]],6,FALSE)</f>
        <v>MXN</v>
      </c>
      <c r="E19" s="15" t="s">
        <v>136</v>
      </c>
      <c r="F19" s="15" t="s">
        <v>125</v>
      </c>
      <c r="G19" s="15">
        <v>5</v>
      </c>
      <c r="H19" s="15">
        <v>2</v>
      </c>
      <c r="I19" s="15" t="s">
        <v>110</v>
      </c>
      <c r="J19" s="15">
        <v>2024</v>
      </c>
      <c r="K19" s="7">
        <f>Tabla3[LITROS_MAQ]*Tabla3[Precio_unitario]</f>
        <v>50</v>
      </c>
    </row>
    <row r="20" spans="1:11" s="7" customFormat="1" ht="18.600000000000001" thickBot="1" x14ac:dyDescent="0.35">
      <c r="A20" s="7" t="str">
        <f>VLOOKUP(Tabla3[[#This Row],[Descripcion_producto]],TablaProductos[#All],2,FALSE)</f>
        <v>DQ-0019</v>
      </c>
      <c r="B20" s="7" t="s">
        <v>35</v>
      </c>
      <c r="C20" s="7">
        <f>VLOOKUP(Tabla3[[#This Row],[Descripcion_producto]],Tabla1[[#All],[descrip_producto]:[moneda]],5,FALSE)</f>
        <v>10</v>
      </c>
      <c r="D20" s="7" t="str">
        <f>VLOOKUP(Tabla3[[#This Row],[Descripcion_producto]],Tabla1[[#All],[descrip_producto]:[moneda]],6,FALSE)</f>
        <v>MXN</v>
      </c>
      <c r="E20" s="15" t="s">
        <v>135</v>
      </c>
      <c r="F20" s="15" t="s">
        <v>125</v>
      </c>
      <c r="G20" s="15">
        <v>40</v>
      </c>
      <c r="H20" s="15">
        <v>2</v>
      </c>
      <c r="I20" s="15" t="s">
        <v>110</v>
      </c>
      <c r="J20" s="15">
        <v>2024</v>
      </c>
      <c r="K20" s="7">
        <f>Tabla3[LITROS_MAQ]*Tabla3[Precio_unitario]</f>
        <v>400</v>
      </c>
    </row>
    <row r="21" spans="1:11" s="7" customFormat="1" ht="18.600000000000001" thickBot="1" x14ac:dyDescent="0.35">
      <c r="A21" s="7" t="str">
        <f>VLOOKUP(Tabla3[[#This Row],[Descripcion_producto]],TablaProductos[#All],2,FALSE)</f>
        <v>DQ-0019</v>
      </c>
      <c r="B21" s="7" t="s">
        <v>35</v>
      </c>
      <c r="C21" s="7">
        <f>VLOOKUP(Tabla3[[#This Row],[Descripcion_producto]],Tabla1[[#All],[descrip_producto]:[moneda]],5,FALSE)</f>
        <v>10</v>
      </c>
      <c r="D21" s="7" t="str">
        <f>VLOOKUP(Tabla3[[#This Row],[Descripcion_producto]],Tabla1[[#All],[descrip_producto]:[moneda]],6,FALSE)</f>
        <v>MXN</v>
      </c>
      <c r="E21" s="15" t="s">
        <v>134</v>
      </c>
      <c r="F21" s="15" t="s">
        <v>125</v>
      </c>
      <c r="G21" s="15">
        <v>40</v>
      </c>
      <c r="H21" s="15">
        <v>2</v>
      </c>
      <c r="I21" s="15" t="s">
        <v>110</v>
      </c>
      <c r="J21" s="15">
        <v>2024</v>
      </c>
      <c r="K21" s="7">
        <f>Tabla3[LITROS_MAQ]*Tabla3[Precio_unitario]</f>
        <v>400</v>
      </c>
    </row>
    <row r="22" spans="1:11" s="7" customFormat="1" ht="18.600000000000001" thickBot="1" x14ac:dyDescent="0.35">
      <c r="A22" s="7" t="str">
        <f>VLOOKUP(Tabla3[[#This Row],[Descripcion_producto]],TablaProductos[#All],2,FALSE)</f>
        <v>DQ-0019</v>
      </c>
      <c r="B22" s="7" t="s">
        <v>35</v>
      </c>
      <c r="C22" s="7">
        <f>VLOOKUP(Tabla3[[#This Row],[Descripcion_producto]],Tabla1[[#All],[descrip_producto]:[moneda]],5,FALSE)</f>
        <v>10</v>
      </c>
      <c r="D22" s="7" t="str">
        <f>VLOOKUP(Tabla3[[#This Row],[Descripcion_producto]],Tabla1[[#All],[descrip_producto]:[moneda]],6,FALSE)</f>
        <v>MXN</v>
      </c>
      <c r="E22" s="15" t="s">
        <v>133</v>
      </c>
      <c r="F22" s="15" t="s">
        <v>125</v>
      </c>
      <c r="G22" s="15">
        <v>40</v>
      </c>
      <c r="H22" s="15">
        <v>2</v>
      </c>
      <c r="I22" s="15" t="s">
        <v>110</v>
      </c>
      <c r="J22" s="15">
        <v>2024</v>
      </c>
      <c r="K22" s="7">
        <f>Tabla3[LITROS_MAQ]*Tabla3[Precio_unitario]</f>
        <v>400</v>
      </c>
    </row>
    <row r="23" spans="1:11" s="7" customFormat="1" ht="18.600000000000001" thickBot="1" x14ac:dyDescent="0.35">
      <c r="A23" s="7" t="str">
        <f>VLOOKUP(Tabla3[[#This Row],[Descripcion_producto]],TablaProductos[#All],2,FALSE)</f>
        <v>DQ-0019</v>
      </c>
      <c r="B23" s="7" t="s">
        <v>35</v>
      </c>
      <c r="C23" s="7">
        <f>VLOOKUP(Tabla3[[#This Row],[Descripcion_producto]],Tabla1[[#All],[descrip_producto]:[moneda]],5,FALSE)</f>
        <v>10</v>
      </c>
      <c r="D23" s="7" t="str">
        <f>VLOOKUP(Tabla3[[#This Row],[Descripcion_producto]],Tabla1[[#All],[descrip_producto]:[moneda]],6,FALSE)</f>
        <v>MXN</v>
      </c>
      <c r="E23" s="15" t="s">
        <v>132</v>
      </c>
      <c r="F23" s="15" t="s">
        <v>125</v>
      </c>
      <c r="G23" s="15">
        <v>40</v>
      </c>
      <c r="H23" s="15">
        <v>2</v>
      </c>
      <c r="I23" s="15" t="s">
        <v>110</v>
      </c>
      <c r="J23" s="15">
        <v>2024</v>
      </c>
      <c r="K23" s="7">
        <f>Tabla3[LITROS_MAQ]*Tabla3[Precio_unitario]</f>
        <v>400</v>
      </c>
    </row>
    <row r="24" spans="1:11" s="7" customFormat="1" ht="18.600000000000001" thickBot="1" x14ac:dyDescent="0.35">
      <c r="A24" s="7" t="str">
        <f>VLOOKUP(Tabla3[[#This Row],[Descripcion_producto]],TablaProductos[#All],2,FALSE)</f>
        <v>DQ-0019</v>
      </c>
      <c r="B24" s="7" t="s">
        <v>35</v>
      </c>
      <c r="C24" s="7">
        <f>VLOOKUP(Tabla3[[#This Row],[Descripcion_producto]],Tabla1[[#All],[descrip_producto]:[moneda]],5,FALSE)</f>
        <v>10</v>
      </c>
      <c r="D24" s="7" t="str">
        <f>VLOOKUP(Tabla3[[#This Row],[Descripcion_producto]],Tabla1[[#All],[descrip_producto]:[moneda]],6,FALSE)</f>
        <v>MXN</v>
      </c>
      <c r="E24" s="15" t="s">
        <v>131</v>
      </c>
      <c r="F24" s="15" t="s">
        <v>125</v>
      </c>
      <c r="G24" s="15">
        <v>20</v>
      </c>
      <c r="H24" s="15">
        <v>2</v>
      </c>
      <c r="I24" s="15" t="s">
        <v>110</v>
      </c>
      <c r="J24" s="15">
        <v>2024</v>
      </c>
      <c r="K24" s="7">
        <f>Tabla3[LITROS_MAQ]*Tabla3[Precio_unitario]</f>
        <v>200</v>
      </c>
    </row>
    <row r="25" spans="1:11" s="7" customFormat="1" ht="18.600000000000001" thickBot="1" x14ac:dyDescent="0.35">
      <c r="A25" s="7" t="str">
        <f>VLOOKUP(Tabla3[[#This Row],[Descripcion_producto]],TablaProductos[#All],2,FALSE)</f>
        <v>DQ-0019</v>
      </c>
      <c r="B25" s="7" t="s">
        <v>35</v>
      </c>
      <c r="C25" s="7">
        <f>VLOOKUP(Tabla3[[#This Row],[Descripcion_producto]],Tabla1[[#All],[descrip_producto]:[moneda]],5,FALSE)</f>
        <v>10</v>
      </c>
      <c r="D25" s="7" t="str">
        <f>VLOOKUP(Tabla3[[#This Row],[Descripcion_producto]],Tabla1[[#All],[descrip_producto]:[moneda]],6,FALSE)</f>
        <v>MXN</v>
      </c>
      <c r="E25" s="15" t="s">
        <v>130</v>
      </c>
      <c r="F25" s="15" t="s">
        <v>125</v>
      </c>
      <c r="G25" s="15">
        <v>20</v>
      </c>
      <c r="H25" s="15">
        <v>2</v>
      </c>
      <c r="I25" s="15" t="s">
        <v>110</v>
      </c>
      <c r="J25" s="15">
        <v>2024</v>
      </c>
      <c r="K25" s="7">
        <f>Tabla3[LITROS_MAQ]*Tabla3[Precio_unitario]</f>
        <v>200</v>
      </c>
    </row>
    <row r="26" spans="1:11" s="7" customFormat="1" ht="18.600000000000001" thickBot="1" x14ac:dyDescent="0.35">
      <c r="A26" s="7" t="str">
        <f>VLOOKUP(Tabla3[[#This Row],[Descripcion_producto]],TablaProductos[#All],2,FALSE)</f>
        <v>DQ-0019</v>
      </c>
      <c r="B26" s="7" t="s">
        <v>35</v>
      </c>
      <c r="C26" s="7">
        <f>VLOOKUP(Tabla3[[#This Row],[Descripcion_producto]],Tabla1[[#All],[descrip_producto]:[moneda]],5,FALSE)</f>
        <v>10</v>
      </c>
      <c r="D26" s="7" t="str">
        <f>VLOOKUP(Tabla3[[#This Row],[Descripcion_producto]],Tabla1[[#All],[descrip_producto]:[moneda]],6,FALSE)</f>
        <v>MXN</v>
      </c>
      <c r="E26" s="15" t="s">
        <v>129</v>
      </c>
      <c r="F26" s="15" t="s">
        <v>125</v>
      </c>
      <c r="G26" s="15">
        <v>20</v>
      </c>
      <c r="H26" s="15">
        <v>2</v>
      </c>
      <c r="I26" s="15" t="s">
        <v>110</v>
      </c>
      <c r="J26" s="15">
        <v>2024</v>
      </c>
      <c r="K26" s="7">
        <f>Tabla3[LITROS_MAQ]*Tabla3[Precio_unitario]</f>
        <v>200</v>
      </c>
    </row>
    <row r="27" spans="1:11" s="7" customFormat="1" ht="18.600000000000001" thickBot="1" x14ac:dyDescent="0.35">
      <c r="A27" s="7" t="str">
        <f>VLOOKUP(Tabla3[[#This Row],[Descripcion_producto]],TablaProductos[#All],2,FALSE)</f>
        <v>DQ-0019</v>
      </c>
      <c r="B27" s="7" t="s">
        <v>35</v>
      </c>
      <c r="C27" s="7">
        <f>VLOOKUP(Tabla3[[#This Row],[Descripcion_producto]],Tabla1[[#All],[descrip_producto]:[moneda]],5,FALSE)</f>
        <v>10</v>
      </c>
      <c r="D27" s="7" t="str">
        <f>VLOOKUP(Tabla3[[#This Row],[Descripcion_producto]],Tabla1[[#All],[descrip_producto]:[moneda]],6,FALSE)</f>
        <v>MXN</v>
      </c>
      <c r="E27" s="15" t="s">
        <v>128</v>
      </c>
      <c r="F27" s="15" t="s">
        <v>125</v>
      </c>
      <c r="G27" s="15">
        <v>20</v>
      </c>
      <c r="H27" s="15">
        <v>2</v>
      </c>
      <c r="I27" s="15" t="s">
        <v>110</v>
      </c>
      <c r="J27" s="15">
        <v>2024</v>
      </c>
      <c r="K27" s="7">
        <f>Tabla3[LITROS_MAQ]*Tabla3[Precio_unitario]</f>
        <v>200</v>
      </c>
    </row>
    <row r="28" spans="1:11" s="7" customFormat="1" ht="18.600000000000001" thickBot="1" x14ac:dyDescent="0.35">
      <c r="A28" s="7" t="str">
        <f>VLOOKUP(Tabla3[[#This Row],[Descripcion_producto]],TablaProductos[#All],2,FALSE)</f>
        <v>DQ-0019</v>
      </c>
      <c r="B28" s="7" t="s">
        <v>35</v>
      </c>
      <c r="C28" s="7">
        <f>VLOOKUP(Tabla3[[#This Row],[Descripcion_producto]],Tabla1[[#All],[descrip_producto]:[moneda]],5,FALSE)</f>
        <v>10</v>
      </c>
      <c r="D28" s="7" t="str">
        <f>VLOOKUP(Tabla3[[#This Row],[Descripcion_producto]],Tabla1[[#All],[descrip_producto]:[moneda]],6,FALSE)</f>
        <v>MXN</v>
      </c>
      <c r="E28" s="15" t="s">
        <v>127</v>
      </c>
      <c r="F28" s="15" t="s">
        <v>125</v>
      </c>
      <c r="G28" s="15">
        <v>20</v>
      </c>
      <c r="H28" s="15">
        <v>2</v>
      </c>
      <c r="I28" s="15" t="s">
        <v>110</v>
      </c>
      <c r="J28" s="15">
        <v>2024</v>
      </c>
      <c r="K28" s="7">
        <f>Tabla3[LITROS_MAQ]*Tabla3[Precio_unitario]</f>
        <v>200</v>
      </c>
    </row>
    <row r="29" spans="1:11" s="7" customFormat="1" ht="18.600000000000001" thickBot="1" x14ac:dyDescent="0.35">
      <c r="A29" s="7" t="str">
        <f>VLOOKUP(Tabla3[[#This Row],[Descripcion_producto]],TablaProductos[#All],2,FALSE)</f>
        <v>DQ-0019</v>
      </c>
      <c r="B29" s="7" t="s">
        <v>35</v>
      </c>
      <c r="C29" s="7">
        <f>VLOOKUP(Tabla3[[#This Row],[Descripcion_producto]],Tabla1[[#All],[descrip_producto]:[moneda]],5,FALSE)</f>
        <v>10</v>
      </c>
      <c r="D29" s="7" t="str">
        <f>VLOOKUP(Tabla3[[#This Row],[Descripcion_producto]],Tabla1[[#All],[descrip_producto]:[moneda]],6,FALSE)</f>
        <v>MXN</v>
      </c>
      <c r="E29" s="15" t="s">
        <v>126</v>
      </c>
      <c r="F29" s="15" t="s">
        <v>125</v>
      </c>
      <c r="G29" s="15">
        <v>15</v>
      </c>
      <c r="H29" s="15">
        <v>2</v>
      </c>
      <c r="I29" s="15" t="s">
        <v>110</v>
      </c>
      <c r="J29" s="15">
        <v>2024</v>
      </c>
      <c r="K29" s="7">
        <f>Tabla3[LITROS_MAQ]*Tabla3[Precio_unitario]</f>
        <v>150</v>
      </c>
    </row>
    <row r="30" spans="1:11" s="7" customFormat="1" ht="18.600000000000001" thickBot="1" x14ac:dyDescent="0.35">
      <c r="A30" s="7" t="str">
        <f>VLOOKUP(Tabla3[[#This Row],[Descripcion_producto]],TablaProductos[#All],2,FALSE)</f>
        <v>DQ-0019</v>
      </c>
      <c r="B30" s="7" t="s">
        <v>35</v>
      </c>
      <c r="C30" s="7">
        <f>VLOOKUP(Tabla3[[#This Row],[Descripcion_producto]],Tabla1[[#All],[descrip_producto]:[moneda]],5,FALSE)</f>
        <v>10</v>
      </c>
      <c r="D30" s="7" t="str">
        <f>VLOOKUP(Tabla3[[#This Row],[Descripcion_producto]],Tabla1[[#All],[descrip_producto]:[moneda]],6,FALSE)</f>
        <v>MXN</v>
      </c>
      <c r="E30" s="15" t="s">
        <v>124</v>
      </c>
      <c r="F30" s="15" t="s">
        <v>125</v>
      </c>
      <c r="G30" s="15">
        <v>15</v>
      </c>
      <c r="H30" s="15">
        <v>2</v>
      </c>
      <c r="I30" s="15" t="s">
        <v>110</v>
      </c>
      <c r="J30" s="15">
        <v>2024</v>
      </c>
      <c r="K30" s="7">
        <f>Tabla3[LITROS_MAQ]*Tabla3[Precio_unitario]</f>
        <v>150</v>
      </c>
    </row>
    <row r="31" spans="1:11" s="7" customFormat="1" ht="18.600000000000001" thickBot="1" x14ac:dyDescent="0.35">
      <c r="A31" s="7" t="str">
        <f>VLOOKUP(Tabla3[[#This Row],[Descripcion_producto]],TablaProductos[#All],2,FALSE)</f>
        <v>DQ-0012</v>
      </c>
      <c r="B31" s="7" t="s">
        <v>66</v>
      </c>
      <c r="C31" s="7">
        <f>VLOOKUP(Tabla3[[#This Row],[Descripcion_producto]],Tabla1[[#All],[descrip_producto]:[moneda]],5,FALSE)</f>
        <v>10</v>
      </c>
      <c r="D31" s="7" t="str">
        <f>VLOOKUP(Tabla3[[#This Row],[Descripcion_producto]],Tabla1[[#All],[descrip_producto]:[moneda]],6,FALSE)</f>
        <v>USD</v>
      </c>
      <c r="E31" s="15" t="s">
        <v>123</v>
      </c>
      <c r="F31" s="15" t="s">
        <v>121</v>
      </c>
      <c r="G31" s="15">
        <v>1</v>
      </c>
      <c r="H31" s="15">
        <v>2</v>
      </c>
      <c r="I31" s="15" t="s">
        <v>110</v>
      </c>
      <c r="J31" s="15">
        <v>2024</v>
      </c>
      <c r="K31" s="7">
        <f>Tabla3[LITROS_MAQ]*Tabla3[Precio_unitario]</f>
        <v>10</v>
      </c>
    </row>
    <row r="32" spans="1:11" s="7" customFormat="1" ht="18.600000000000001" thickBot="1" x14ac:dyDescent="0.35">
      <c r="A32" s="7" t="str">
        <f>VLOOKUP(Tabla3[[#This Row],[Descripcion_producto]],TablaProductos[#All],2,FALSE)</f>
        <v>DQ-0012</v>
      </c>
      <c r="B32" s="7" t="s">
        <v>66</v>
      </c>
      <c r="C32" s="7">
        <f>VLOOKUP(Tabla3[[#This Row],[Descripcion_producto]],Tabla1[[#All],[descrip_producto]:[moneda]],5,FALSE)</f>
        <v>10</v>
      </c>
      <c r="D32" s="7" t="str">
        <f>VLOOKUP(Tabla3[[#This Row],[Descripcion_producto]],Tabla1[[#All],[descrip_producto]:[moneda]],6,FALSE)</f>
        <v>USD</v>
      </c>
      <c r="E32" s="15" t="s">
        <v>122</v>
      </c>
      <c r="F32" s="15" t="s">
        <v>121</v>
      </c>
      <c r="G32" s="15">
        <v>40</v>
      </c>
      <c r="H32" s="15">
        <v>2</v>
      </c>
      <c r="I32" s="15" t="s">
        <v>110</v>
      </c>
      <c r="J32" s="15">
        <v>2024</v>
      </c>
      <c r="K32" s="7">
        <f>Tabla3[LITROS_MAQ]*Tabla3[Precio_unitario]</f>
        <v>400</v>
      </c>
    </row>
    <row r="33" spans="1:11" s="7" customFormat="1" ht="18.600000000000001" thickBot="1" x14ac:dyDescent="0.35">
      <c r="A33" s="19" t="str">
        <f>VLOOKUP(Tabla3[[#This Row],[Descripcion_producto]],TablaProductos[#All],2,FALSE)</f>
        <v>DQ-0012</v>
      </c>
      <c r="B33" s="7" t="s">
        <v>66</v>
      </c>
      <c r="C33" s="19">
        <f>VLOOKUP(Tabla3[[#This Row],[Descripcion_producto]],Tabla1[[#All],[descrip_producto]:[moneda]],5,FALSE)</f>
        <v>10</v>
      </c>
      <c r="D33" s="19" t="str">
        <f>VLOOKUP(Tabla3[[#This Row],[Descripcion_producto]],Tabla1[[#All],[descrip_producto]:[moneda]],6,FALSE)</f>
        <v>USD</v>
      </c>
      <c r="E33" s="15" t="s">
        <v>120</v>
      </c>
      <c r="F33" s="15" t="s">
        <v>121</v>
      </c>
      <c r="G33" s="15">
        <v>15</v>
      </c>
      <c r="H33" s="15">
        <v>2</v>
      </c>
      <c r="I33" s="15" t="s">
        <v>110</v>
      </c>
      <c r="J33" s="15">
        <v>2024</v>
      </c>
      <c r="K33" s="19">
        <f>Tabla3[LITROS_MAQ]*Tabla3[Precio_unitario]</f>
        <v>150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INTERFAZ USUARIO</vt:lpstr>
      <vt:lpstr>ANALISIS_PLANTA</vt:lpstr>
      <vt:lpstr>DASHBOARD</vt:lpstr>
      <vt:lpstr>BASE DE DATOS INVENTARIO PLANTA</vt:lpstr>
      <vt:lpstr>PRODUCTOS</vt:lpstr>
      <vt:lpstr>ANÁLISIS_MAQUINAS</vt:lpstr>
      <vt:lpstr>BASE DE DATOS MÁQUINAS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Joelys Reinales</dc:creator>
  <cp:lastModifiedBy>Joelys Reinales</cp:lastModifiedBy>
  <dcterms:created xsi:type="dcterms:W3CDTF">2024-04-13T08:30:50Z</dcterms:created>
  <dcterms:modified xsi:type="dcterms:W3CDTF">2024-04-16T17:19:28Z</dcterms:modified>
</cp:coreProperties>
</file>